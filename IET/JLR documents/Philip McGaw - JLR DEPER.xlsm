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ml.chartshapes+xml"/>
  <Override PartName="/xl/drawings/drawing5.xml" ContentType="application/vnd.openxmlformats-officedocument.drawing+xml"/>
  <Override PartName="/xl/ctrlProps/ctrlProp4.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trlProps/ctrlProp5.xml" ContentType="application/vnd.ms-excel.controlpropertie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6.xml" ContentType="application/vnd.ms-excel.controlproperties+xml"/>
  <Override PartName="/xl/drawings/drawing10.xml" ContentType="application/vnd.openxmlformats-officedocument.drawing+xml"/>
  <Override PartName="/xl/ctrlProps/ctrlProp7.xml" ContentType="application/vnd.ms-excel.controlproperties+xml"/>
  <Override PartName="/xl/drawings/drawing11.xml" ContentType="application/vnd.openxmlformats-officedocument.drawing+xml"/>
  <Override PartName="/xl/ctrlProps/ctrlProp8.xml" ContentType="application/vnd.ms-excel.controlproperties+xml"/>
  <Override PartName="/xl/drawings/drawing12.xml" ContentType="application/vnd.openxmlformats-officedocument.drawing+xml"/>
  <Override PartName="/xl/ctrlProps/ctrlProp9.xml" ContentType="application/vnd.ms-excel.controlproperties+xml"/>
  <Override PartName="/xl/drawings/drawing13.xml" ContentType="application/vnd.openxmlformats-officedocument.drawing+xml"/>
  <Override PartName="/xl/ctrlProps/ctrlProp10.xml" ContentType="application/vnd.ms-excel.controlproperties+xml"/>
  <Override PartName="/xl/drawings/drawing14.xml" ContentType="application/vnd.openxmlformats-officedocument.drawing+xml"/>
  <Override PartName="/xl/ctrlProps/ctrlProp11.xml" ContentType="application/vnd.ms-excel.controlproperties+xml"/>
  <Override PartName="/xl/drawings/drawing15.xml" ContentType="application/vnd.openxmlformats-officedocument.drawing+xml"/>
  <Override PartName="/xl/ctrlProps/ctrlProp12.xml" ContentType="application/vnd.ms-excel.controlproperties+xml"/>
  <Override PartName="/xl/drawings/drawing16.xml" ContentType="application/vnd.openxmlformats-officedocument.drawing+xml"/>
  <Override PartName="/xl/ctrlProps/ctrlProp13.xml" ContentType="application/vnd.ms-excel.controlproperties+xml"/>
  <Override PartName="/xl/drawings/drawing17.xml" ContentType="application/vnd.openxmlformats-officedocument.drawing+xml"/>
  <Override PartName="/xl/ctrlProps/ctrlProp14.xml" ContentType="application/vnd.ms-excel.controlproperties+xml"/>
  <Override PartName="/xl/drawings/drawing18.xml" ContentType="application/vnd.openxmlformats-officedocument.drawing+xml"/>
  <Override PartName="/xl/ctrlProps/ctrlProp15.xml" ContentType="application/vnd.ms-excel.controlproperties+xml"/>
  <Override PartName="/xl/drawings/drawing19.xml" ContentType="application/vnd.openxmlformats-officedocument.drawing+xml"/>
  <Override PartName="/xl/ctrlProps/ctrlProp16.xml" ContentType="application/vnd.ms-excel.controlproperties+xml"/>
  <Override PartName="/xl/drawings/drawing20.xml" ContentType="application/vnd.openxmlformats-officedocument.drawing+xml"/>
  <Override PartName="/xl/ctrlProps/ctrlProp17.xml" ContentType="application/vnd.ms-excel.controlproperties+xml"/>
  <Override PartName="/xl/drawings/drawing21.xml" ContentType="application/vnd.openxmlformats-officedocument.drawing+xml"/>
  <Override PartName="/xl/ctrlProps/ctrlProp18.xml" ContentType="application/vnd.ms-excel.controlproperties+xml"/>
  <Override PartName="/xl/drawings/drawing22.xml" ContentType="application/vnd.openxmlformats-officedocument.drawing+xml"/>
  <Override PartName="/xl/ctrlProps/ctrlProp19.xml" ContentType="application/vnd.ms-excel.controlproperties+xml"/>
  <Override PartName="/xl/drawings/drawing23.xml" ContentType="application/vnd.openxmlformats-officedocument.drawing+xml"/>
  <Override PartName="/xl/ctrlProps/ctrlProp20.xml" ContentType="application/vnd.ms-excel.controlproperties+xml"/>
  <Override PartName="/xl/drawings/drawing24.xml" ContentType="application/vnd.openxmlformats-officedocument.drawing+xml"/>
  <Override PartName="/xl/ctrlProps/ctrlProp21.xml" ContentType="application/vnd.ms-excel.controlproperties+xml"/>
  <Override PartName="/xl/drawings/drawing25.xml" ContentType="application/vnd.openxmlformats-officedocument.drawing+xml"/>
  <Override PartName="/xl/ctrlProps/ctrlProp22.xml" ContentType="application/vnd.ms-excel.controlproperties+xml"/>
  <Override PartName="/xl/drawings/drawing26.xml" ContentType="application/vnd.openxmlformats-officedocument.drawing+xml"/>
  <Override PartName="/xl/ctrlProps/ctrlProp23.xml" ContentType="application/vnd.ms-excel.controlproperties+xml"/>
  <Override PartName="/xl/drawings/drawing27.xml" ContentType="application/vnd.openxmlformats-officedocument.drawing+xml"/>
  <Override PartName="/xl/ctrlProps/ctrlProp24.xml" ContentType="application/vnd.ms-excel.controlproperties+xml"/>
  <Override PartName="/xl/drawings/drawing28.xml" ContentType="application/vnd.openxmlformats-officedocument.drawing+xml"/>
  <Override PartName="/xl/ctrlProps/ctrlProp25.xml" ContentType="application/vnd.ms-excel.controlproperties+xml"/>
  <Override PartName="/xl/drawings/drawing29.xml" ContentType="application/vnd.openxmlformats-officedocument.drawing+xml"/>
  <Override PartName="/xl/ctrlProps/ctrlProp26.xml" ContentType="application/vnd.ms-excel.controlproperties+xml"/>
  <Override PartName="/xl/drawings/drawing30.xml" ContentType="application/vnd.openxmlformats-officedocument.drawing+xml"/>
  <Override PartName="/xl/ctrlProps/ctrlProp27.xml" ContentType="application/vnd.ms-excel.controlproperties+xml"/>
  <Override PartName="/xl/drawings/drawing31.xml" ContentType="application/vnd.openxmlformats-officedocument.drawing+xml"/>
  <Override PartName="/xl/ctrlProps/ctrlProp28.xml" ContentType="application/vnd.ms-excel.controlproperties+xml"/>
  <Override PartName="/xl/drawings/drawing32.xml" ContentType="application/vnd.openxmlformats-officedocument.drawing+xml"/>
  <Override PartName="/xl/ctrlProps/ctrlProp2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510" codeName="{B1BEFC71-4687-E4F5-767E-874F2C426654}"/>
  <workbookPr codeName="ThisWorkbook" defaultThemeVersion="166925"/>
  <mc:AlternateContent xmlns:mc="http://schemas.openxmlformats.org/markup-compatibility/2006">
    <mc:Choice Requires="x15">
      <x15ac:absPath xmlns:x15ac="http://schemas.microsoft.com/office/spreadsheetml/2010/11/ac" url="/Users/skippy/Documents/Personal/Employment/CV/IET/JLR documents/"/>
    </mc:Choice>
  </mc:AlternateContent>
  <xr:revisionPtr revIDLastSave="0" documentId="13_ncr:1_{B69B0727-6F90-1848-8823-41864CAE858C}" xr6:coauthVersionLast="45" xr6:coauthVersionMax="45" xr10:uidLastSave="{00000000-0000-0000-0000-000000000000}"/>
  <workbookProtection workbookAlgorithmName="SHA-512" workbookHashValue="nog4bfZs+PEPuUJJTZFS/mN+gm3PCEfAERGMkAXzbRw4MBiPLFeu9Qi7Y2aot8Il3lhVvaHMweHAfDfS7vkU6w==" workbookSaltValue="HsRZsOHJhtvO4As+aufreA==" workbookSpinCount="100000" lockStructure="1"/>
  <bookViews>
    <workbookView xWindow="2300" yWindow="460" windowWidth="26500" windowHeight="17540" tabRatio="556" activeTab="6" xr2:uid="{00000000-000D-0000-FFFF-FFFF00000000}"/>
  </bookViews>
  <sheets>
    <sheet name="Welcome to DEPER" sheetId="34" r:id="rId1"/>
    <sheet name="Front Sheet" sheetId="2" r:id="rId2"/>
    <sheet name="Progress" sheetId="5" r:id="rId3"/>
    <sheet name="Slope" sheetId="9" r:id="rId4"/>
    <sheet name="Spiders" sheetId="6" r:id="rId5"/>
    <sheet name="Module Results" sheetId="8" r:id="rId6"/>
    <sheet name="Y1 R1" sheetId="4" r:id="rId7"/>
    <sheet name="Y1 R2" sheetId="11" r:id="rId8"/>
    <sheet name="Y1 R3" sheetId="12" r:id="rId9"/>
    <sheet name="Y1 R4" sheetId="13" r:id="rId10"/>
    <sheet name="Y2 R1" sheetId="14" r:id="rId11"/>
    <sheet name="Y2 R2" sheetId="15" r:id="rId12"/>
    <sheet name="Y2 R3" sheetId="16" r:id="rId13"/>
    <sheet name="Y2 R4" sheetId="17" r:id="rId14"/>
    <sheet name="Y3 R1" sheetId="18" r:id="rId15"/>
    <sheet name="Y3 R2" sheetId="19" r:id="rId16"/>
    <sheet name="Y3 R3" sheetId="20" r:id="rId17"/>
    <sheet name="Y3 R4" sheetId="21" r:id="rId18"/>
    <sheet name="Y4 R1" sheetId="22" r:id="rId19"/>
    <sheet name="Y4 R2" sheetId="23" r:id="rId20"/>
    <sheet name="Y4 R3" sheetId="24" r:id="rId21"/>
    <sheet name="Y4 R4" sheetId="25" r:id="rId22"/>
    <sheet name="Y5 R1" sheetId="26" r:id="rId23"/>
    <sheet name="Y5 R2" sheetId="27" r:id="rId24"/>
    <sheet name="Y5 R3" sheetId="28" r:id="rId25"/>
    <sheet name="Y5 R4" sheetId="29" r:id="rId26"/>
    <sheet name="Y6 R1" sheetId="30" r:id="rId27"/>
    <sheet name="Y6 R2" sheetId="31" r:id="rId28"/>
    <sheet name="Y6 R3" sheetId="32" r:id="rId29"/>
    <sheet name="Y6 R4" sheetId="33" r:id="rId30"/>
    <sheet name="Drop Down Lists" sheetId="3" state="hidden" r:id="rId31"/>
  </sheets>
  <definedNames>
    <definedName name="_xlnm.Print_Area" localSheetId="1">'Front Sheet'!$A$1:$K$53</definedName>
    <definedName name="_xlnm.Print_Area" localSheetId="5">'Module Results'!$A$1:$K$106</definedName>
    <definedName name="_xlnm.Print_Area" localSheetId="2">Progress!$A$1:$AH$33</definedName>
    <definedName name="_xlnm.Print_Area" localSheetId="3">Slope!$B$3:$V$42</definedName>
    <definedName name="_xlnm.Print_Area" localSheetId="4">Spiders!$B$3:$V$41</definedName>
    <definedName name="_xlnm.Print_Area" localSheetId="0">'Welcome to DEPER'!$A$1:$G$33</definedName>
    <definedName name="_xlnm.Print_Area" localSheetId="6">'Y1 R1'!$A$1:$O$65</definedName>
    <definedName name="_xlnm.Print_Area" localSheetId="7">'Y1 R2'!$A$1:$O$65</definedName>
    <definedName name="_xlnm.Print_Area" localSheetId="8">'Y1 R3'!$A$1:$O$65</definedName>
    <definedName name="_xlnm.Print_Area" localSheetId="9">'Y1 R4'!$A$1:$O$65</definedName>
    <definedName name="_xlnm.Print_Area" localSheetId="10">'Y2 R1'!$A$1:$O$65</definedName>
    <definedName name="_xlnm.Print_Area" localSheetId="11">'Y2 R2'!$A$1:$O$65</definedName>
    <definedName name="_xlnm.Print_Area" localSheetId="12">'Y2 R3'!$A$1:$O$65</definedName>
    <definedName name="_xlnm.Print_Area" localSheetId="13">'Y2 R4'!$A$1:$O$65</definedName>
    <definedName name="_xlnm.Print_Area" localSheetId="14">'Y3 R1'!$A$1:$O$65</definedName>
    <definedName name="_xlnm.Print_Area" localSheetId="15">'Y3 R2'!$A$1:$O$65</definedName>
    <definedName name="_xlnm.Print_Area" localSheetId="16">'Y3 R3'!$A$1:$O$65</definedName>
    <definedName name="_xlnm.Print_Area" localSheetId="17">'Y3 R4'!$A$1:$O$65</definedName>
    <definedName name="_xlnm.Print_Area" localSheetId="18">'Y4 R1'!$A$1:$O$65</definedName>
    <definedName name="_xlnm.Print_Area" localSheetId="19">'Y4 R2'!$A$1:$O$65</definedName>
    <definedName name="_xlnm.Print_Area" localSheetId="20">'Y4 R3'!$A$1:$O$65</definedName>
    <definedName name="_xlnm.Print_Area" localSheetId="21">'Y4 R4'!$A$1:$O$65</definedName>
    <definedName name="_xlnm.Print_Area" localSheetId="22">'Y5 R1'!$A$1:$O$65</definedName>
    <definedName name="_xlnm.Print_Area" localSheetId="23">'Y5 R2'!$A$1:$O$65</definedName>
    <definedName name="_xlnm.Print_Area" localSheetId="24">'Y5 R3'!$A$1:$O$65</definedName>
    <definedName name="_xlnm.Print_Area" localSheetId="25">'Y5 R4'!$A$1:$O$65</definedName>
    <definedName name="_xlnm.Print_Area" localSheetId="26">'Y6 R1'!$A$1:$O$65</definedName>
    <definedName name="_xlnm.Print_Area" localSheetId="27">'Y6 R2'!$A$1:$O$65</definedName>
    <definedName name="_xlnm.Print_Area" localSheetId="28">'Y6 R3'!$A$1:$O$65</definedName>
    <definedName name="_xlnm.Print_Area" localSheetId="29">'Y6 R4'!$A$1:$O$65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7" i="5" l="1"/>
  <c r="J28" i="5"/>
  <c r="J29" i="5"/>
  <c r="J30" i="5"/>
  <c r="J26" i="5"/>
  <c r="J23" i="5"/>
  <c r="J24" i="5"/>
  <c r="J22" i="5"/>
  <c r="J18" i="5"/>
  <c r="J19" i="5"/>
  <c r="J20" i="5"/>
  <c r="J17" i="5"/>
  <c r="J14" i="5"/>
  <c r="J15" i="5"/>
  <c r="J13" i="5"/>
  <c r="K27" i="5"/>
  <c r="K28" i="5"/>
  <c r="K29" i="5"/>
  <c r="K30" i="5"/>
  <c r="K26" i="5"/>
  <c r="K23" i="5"/>
  <c r="K24" i="5"/>
  <c r="K22" i="5"/>
  <c r="K18" i="5"/>
  <c r="K19" i="5"/>
  <c r="K20" i="5"/>
  <c r="K17" i="5"/>
  <c r="K14" i="5"/>
  <c r="K15" i="5"/>
  <c r="K13" i="5"/>
  <c r="AF27" i="5"/>
  <c r="AF28" i="5"/>
  <c r="AF29" i="5"/>
  <c r="AF30" i="5"/>
  <c r="AF26" i="5"/>
  <c r="AF23" i="5"/>
  <c r="AF24" i="5"/>
  <c r="AF22" i="5"/>
  <c r="AF18" i="5"/>
  <c r="AF19" i="5"/>
  <c r="AF20" i="5"/>
  <c r="AF17" i="5"/>
  <c r="AF14" i="5"/>
  <c r="AF15" i="5"/>
  <c r="AF13" i="5"/>
  <c r="AF11" i="5"/>
  <c r="AF10" i="5"/>
  <c r="AE27" i="5"/>
  <c r="AE28" i="5"/>
  <c r="AE29" i="5"/>
  <c r="AE30" i="5"/>
  <c r="AE26" i="5"/>
  <c r="AE23" i="5"/>
  <c r="AE24" i="5"/>
  <c r="AE22" i="5"/>
  <c r="AE18" i="5"/>
  <c r="AE19" i="5"/>
  <c r="AE20" i="5"/>
  <c r="AE17" i="5"/>
  <c r="AE14" i="5"/>
  <c r="AE15" i="5"/>
  <c r="AE13" i="5"/>
  <c r="AE11" i="5"/>
  <c r="AE10" i="5"/>
  <c r="AD27" i="5"/>
  <c r="AD28" i="5"/>
  <c r="AD29" i="5"/>
  <c r="AD30" i="5"/>
  <c r="AD26" i="5"/>
  <c r="AD23" i="5"/>
  <c r="AD24" i="5"/>
  <c r="AD22" i="5"/>
  <c r="AD18" i="5"/>
  <c r="AD19" i="5"/>
  <c r="AD20" i="5"/>
  <c r="AD17" i="5"/>
  <c r="AD14" i="5"/>
  <c r="AD15" i="5"/>
  <c r="AD13" i="5"/>
  <c r="AD11" i="5"/>
  <c r="AD10" i="5"/>
  <c r="AC10" i="5"/>
  <c r="AC27" i="5"/>
  <c r="AC28" i="5"/>
  <c r="AC29" i="5"/>
  <c r="AC30" i="5"/>
  <c r="AC26" i="5"/>
  <c r="AC23" i="5"/>
  <c r="AC24" i="5"/>
  <c r="AC22" i="5"/>
  <c r="AC18" i="5"/>
  <c r="AC19" i="5"/>
  <c r="AC20" i="5"/>
  <c r="AC17" i="5"/>
  <c r="AC14" i="5"/>
  <c r="AC15" i="5"/>
  <c r="AC13" i="5"/>
  <c r="AC11" i="5"/>
  <c r="AA27" i="5"/>
  <c r="AA28" i="5"/>
  <c r="AA29" i="5"/>
  <c r="AA30" i="5"/>
  <c r="AA26" i="5"/>
  <c r="AA23" i="5"/>
  <c r="AA24" i="5"/>
  <c r="AA22" i="5"/>
  <c r="AA18" i="5"/>
  <c r="AA19" i="5"/>
  <c r="AA20" i="5"/>
  <c r="AA17" i="5"/>
  <c r="AA14" i="5"/>
  <c r="AA15" i="5"/>
  <c r="AA13" i="5"/>
  <c r="AA11" i="5"/>
  <c r="AA10" i="5"/>
  <c r="Z27" i="5"/>
  <c r="Z28" i="5"/>
  <c r="Z29" i="5"/>
  <c r="Z30" i="5"/>
  <c r="Z26" i="5"/>
  <c r="Z23" i="5"/>
  <c r="Z24" i="5"/>
  <c r="Z22" i="5"/>
  <c r="Z18" i="5"/>
  <c r="Z19" i="5"/>
  <c r="Z20" i="5"/>
  <c r="Z17" i="5"/>
  <c r="Z14" i="5"/>
  <c r="Z15" i="5"/>
  <c r="Z13" i="5"/>
  <c r="Z11" i="5"/>
  <c r="Z10" i="5"/>
  <c r="Y10" i="5"/>
  <c r="Y26" i="5"/>
  <c r="Y27" i="5"/>
  <c r="Y28" i="5"/>
  <c r="Y29" i="5"/>
  <c r="Y30" i="5"/>
  <c r="Y23" i="5"/>
  <c r="Y24" i="5"/>
  <c r="Y22" i="5"/>
  <c r="Y18" i="5"/>
  <c r="Y19" i="5"/>
  <c r="Y20" i="5"/>
  <c r="Y17" i="5"/>
  <c r="Y14" i="5"/>
  <c r="Y15" i="5"/>
  <c r="Y13" i="5"/>
  <c r="Y11" i="5"/>
  <c r="X10" i="5"/>
  <c r="X27" i="5"/>
  <c r="X28" i="5"/>
  <c r="X29" i="5"/>
  <c r="X30" i="5"/>
  <c r="X26" i="5"/>
  <c r="X23" i="5"/>
  <c r="X24" i="5"/>
  <c r="X22" i="5"/>
  <c r="X18" i="5"/>
  <c r="X19" i="5"/>
  <c r="X20" i="5"/>
  <c r="X17" i="5"/>
  <c r="X14" i="5"/>
  <c r="X15" i="5"/>
  <c r="X13" i="5"/>
  <c r="X11" i="5"/>
  <c r="V27" i="5"/>
  <c r="V28" i="5"/>
  <c r="V29" i="5"/>
  <c r="V30" i="5"/>
  <c r="V26" i="5"/>
  <c r="V23" i="5"/>
  <c r="V24" i="5"/>
  <c r="V22" i="5"/>
  <c r="V18" i="5"/>
  <c r="V19" i="5"/>
  <c r="V20" i="5"/>
  <c r="V17" i="5"/>
  <c r="V14" i="5"/>
  <c r="V15" i="5"/>
  <c r="V13" i="5"/>
  <c r="V11" i="5"/>
  <c r="V10" i="5"/>
  <c r="U10" i="5"/>
  <c r="U27" i="5"/>
  <c r="U28" i="5"/>
  <c r="U29" i="5"/>
  <c r="U30" i="5"/>
  <c r="U26" i="5"/>
  <c r="U23" i="5"/>
  <c r="U24" i="5"/>
  <c r="U22" i="5"/>
  <c r="U18" i="5"/>
  <c r="U19" i="5"/>
  <c r="U20" i="5"/>
  <c r="U17" i="5"/>
  <c r="U14" i="5"/>
  <c r="U15" i="5"/>
  <c r="U13" i="5"/>
  <c r="U11" i="5"/>
  <c r="T10" i="5"/>
  <c r="T27" i="5"/>
  <c r="T28" i="5"/>
  <c r="T29" i="5"/>
  <c r="T30" i="5"/>
  <c r="T26" i="5"/>
  <c r="T22" i="5"/>
  <c r="T23" i="5"/>
  <c r="T24" i="5"/>
  <c r="T18" i="5"/>
  <c r="T19" i="5"/>
  <c r="T20" i="5"/>
  <c r="T17" i="5"/>
  <c r="T14" i="5"/>
  <c r="T15" i="5"/>
  <c r="T13" i="5"/>
  <c r="T11" i="5"/>
  <c r="S10" i="5"/>
  <c r="S11" i="5"/>
  <c r="S27" i="5"/>
  <c r="S28" i="5"/>
  <c r="S29" i="5"/>
  <c r="S30" i="5"/>
  <c r="S26" i="5"/>
  <c r="S23" i="5"/>
  <c r="S24" i="5"/>
  <c r="S22" i="5"/>
  <c r="S18" i="5"/>
  <c r="S19" i="5"/>
  <c r="S20" i="5"/>
  <c r="S17" i="5"/>
  <c r="S14" i="5"/>
  <c r="S15" i="5"/>
  <c r="S13" i="5"/>
  <c r="Q10" i="5"/>
  <c r="Q27" i="5" l="1"/>
  <c r="Q28" i="5"/>
  <c r="Q29" i="5"/>
  <c r="Q30" i="5"/>
  <c r="Q26" i="5"/>
  <c r="Q23" i="5"/>
  <c r="Q24" i="5"/>
  <c r="Q22" i="5"/>
  <c r="Q18" i="5"/>
  <c r="Q19" i="5"/>
  <c r="Q20" i="5"/>
  <c r="Q17" i="5"/>
  <c r="Q15" i="5"/>
  <c r="Q14" i="5"/>
  <c r="Q13" i="5"/>
  <c r="Q11" i="5"/>
  <c r="P10" i="5"/>
  <c r="P27" i="5"/>
  <c r="P28" i="5"/>
  <c r="P29" i="5"/>
  <c r="P30" i="5"/>
  <c r="P26" i="5"/>
  <c r="P23" i="5"/>
  <c r="P24" i="5"/>
  <c r="P22" i="5"/>
  <c r="P18" i="5"/>
  <c r="P19" i="5"/>
  <c r="P20" i="5"/>
  <c r="P17" i="5"/>
  <c r="P14" i="5"/>
  <c r="P15" i="5"/>
  <c r="P13" i="5"/>
  <c r="P11" i="5"/>
  <c r="O10" i="5"/>
  <c r="O27" i="5"/>
  <c r="O28" i="5"/>
  <c r="O29" i="5"/>
  <c r="O30" i="5"/>
  <c r="O26" i="5"/>
  <c r="O24" i="5"/>
  <c r="O22" i="5"/>
  <c r="O19" i="5"/>
  <c r="O18" i="5"/>
  <c r="O17" i="5"/>
  <c r="O15" i="5"/>
  <c r="O14" i="5"/>
  <c r="O13" i="5"/>
  <c r="O11" i="5"/>
  <c r="O23" i="5"/>
  <c r="O20" i="5"/>
  <c r="N27" i="5"/>
  <c r="N28" i="5"/>
  <c r="N29" i="5"/>
  <c r="N30" i="5"/>
  <c r="N26" i="5"/>
  <c r="N23" i="5"/>
  <c r="N24" i="5"/>
  <c r="N22" i="5"/>
  <c r="N18" i="5"/>
  <c r="N19" i="5"/>
  <c r="N20" i="5"/>
  <c r="N17" i="5"/>
  <c r="N14" i="5"/>
  <c r="N15" i="5"/>
  <c r="N13" i="5"/>
  <c r="N11" i="5"/>
  <c r="N10" i="5"/>
  <c r="L27" i="5"/>
  <c r="L28" i="5"/>
  <c r="L29" i="5"/>
  <c r="L30" i="5"/>
  <c r="L26" i="5"/>
  <c r="L23" i="5"/>
  <c r="L24" i="5"/>
  <c r="L22" i="5"/>
  <c r="L18" i="5"/>
  <c r="L19" i="5"/>
  <c r="L20" i="5"/>
  <c r="L17" i="5"/>
  <c r="L14" i="5"/>
  <c r="L15" i="5"/>
  <c r="L13" i="5"/>
  <c r="L10" i="5"/>
  <c r="L11" i="5"/>
  <c r="K10" i="5"/>
  <c r="K11" i="5"/>
  <c r="J11" i="5"/>
  <c r="J10" i="5"/>
  <c r="I27" i="5"/>
  <c r="I28" i="5"/>
  <c r="I29" i="5"/>
  <c r="I30" i="5"/>
  <c r="I26" i="5"/>
  <c r="I23" i="5"/>
  <c r="I24" i="5"/>
  <c r="I22" i="5"/>
  <c r="I18" i="5"/>
  <c r="I19" i="5"/>
  <c r="I20" i="5"/>
  <c r="I17" i="5"/>
  <c r="I14" i="5"/>
  <c r="I15" i="5"/>
  <c r="I13" i="5"/>
  <c r="I10" i="5"/>
  <c r="I11" i="5"/>
  <c r="D10" i="5"/>
  <c r="G6" i="33"/>
  <c r="G5" i="33"/>
  <c r="F5" i="33"/>
  <c r="E5" i="33"/>
  <c r="D5" i="33"/>
  <c r="N1" i="33"/>
  <c r="A1" i="33"/>
  <c r="G6" i="32"/>
  <c r="G5" i="32"/>
  <c r="F5" i="32"/>
  <c r="E5" i="32"/>
  <c r="D5" i="32"/>
  <c r="N1" i="32"/>
  <c r="A1" i="32"/>
  <c r="G6" i="31"/>
  <c r="G5" i="31"/>
  <c r="F5" i="31"/>
  <c r="E5" i="31"/>
  <c r="D5" i="31"/>
  <c r="N1" i="31"/>
  <c r="A1" i="31"/>
  <c r="G6" i="30"/>
  <c r="G5" i="30"/>
  <c r="F5" i="30"/>
  <c r="E5" i="30"/>
  <c r="D5" i="30"/>
  <c r="N1" i="30"/>
  <c r="A1" i="30"/>
  <c r="G6" i="29"/>
  <c r="G5" i="29"/>
  <c r="F5" i="29"/>
  <c r="E5" i="29"/>
  <c r="D5" i="29"/>
  <c r="N1" i="29"/>
  <c r="A1" i="29"/>
  <c r="G6" i="28"/>
  <c r="G5" i="28"/>
  <c r="F5" i="28"/>
  <c r="E5" i="28"/>
  <c r="D5" i="28"/>
  <c r="N1" i="28"/>
  <c r="A1" i="28"/>
  <c r="G6" i="27"/>
  <c r="G5" i="27"/>
  <c r="F5" i="27"/>
  <c r="E5" i="27"/>
  <c r="D5" i="27"/>
  <c r="N1" i="27"/>
  <c r="A1" i="27"/>
  <c r="G6" i="26"/>
  <c r="G5" i="26"/>
  <c r="F5" i="26"/>
  <c r="E5" i="26"/>
  <c r="D5" i="26"/>
  <c r="N1" i="26"/>
  <c r="A1" i="26"/>
  <c r="G6" i="25"/>
  <c r="G5" i="25"/>
  <c r="F5" i="25"/>
  <c r="E5" i="25"/>
  <c r="D5" i="25"/>
  <c r="N1" i="25"/>
  <c r="A1" i="25"/>
  <c r="G6" i="24"/>
  <c r="G5" i="24"/>
  <c r="F5" i="24"/>
  <c r="E5" i="24"/>
  <c r="D5" i="24"/>
  <c r="N1" i="24"/>
  <c r="A1" i="24"/>
  <c r="G6" i="23"/>
  <c r="G5" i="23"/>
  <c r="F5" i="23"/>
  <c r="E5" i="23"/>
  <c r="D5" i="23"/>
  <c r="N1" i="23"/>
  <c r="A1" i="23"/>
  <c r="G6" i="22"/>
  <c r="G5" i="22"/>
  <c r="F5" i="22"/>
  <c r="E5" i="22"/>
  <c r="D5" i="22"/>
  <c r="N1" i="22"/>
  <c r="A1" i="22"/>
  <c r="G6" i="21"/>
  <c r="G5" i="21"/>
  <c r="F5" i="21"/>
  <c r="E5" i="21"/>
  <c r="D5" i="21"/>
  <c r="N1" i="21"/>
  <c r="A1" i="21"/>
  <c r="G6" i="20"/>
  <c r="G5" i="20"/>
  <c r="F5" i="20"/>
  <c r="E5" i="20"/>
  <c r="D5" i="20"/>
  <c r="N1" i="20"/>
  <c r="A1" i="20"/>
  <c r="G6" i="19"/>
  <c r="G5" i="19"/>
  <c r="F5" i="19"/>
  <c r="E5" i="19"/>
  <c r="D5" i="19"/>
  <c r="N1" i="19"/>
  <c r="A1" i="19"/>
  <c r="G6" i="18"/>
  <c r="G5" i="18"/>
  <c r="F5" i="18"/>
  <c r="E5" i="18"/>
  <c r="D5" i="18"/>
  <c r="N1" i="18"/>
  <c r="A1" i="18"/>
  <c r="G6" i="17"/>
  <c r="G5" i="17"/>
  <c r="F5" i="17"/>
  <c r="E5" i="17"/>
  <c r="D5" i="17"/>
  <c r="N1" i="17"/>
  <c r="A1" i="17"/>
  <c r="G6" i="16"/>
  <c r="G5" i="16"/>
  <c r="F5" i="16"/>
  <c r="E5" i="16"/>
  <c r="D5" i="16"/>
  <c r="N1" i="16"/>
  <c r="A1" i="16"/>
  <c r="G6" i="15"/>
  <c r="G5" i="15"/>
  <c r="F5" i="15"/>
  <c r="E5" i="15"/>
  <c r="D5" i="15"/>
  <c r="N1" i="15"/>
  <c r="A1" i="15"/>
  <c r="G6" i="14"/>
  <c r="G5" i="14"/>
  <c r="F5" i="14"/>
  <c r="E5" i="14"/>
  <c r="D5" i="14"/>
  <c r="N1" i="14"/>
  <c r="A1" i="14"/>
  <c r="G27" i="5"/>
  <c r="G28" i="5"/>
  <c r="G29" i="5"/>
  <c r="G30" i="5"/>
  <c r="G26" i="5"/>
  <c r="G23" i="5"/>
  <c r="G24" i="5"/>
  <c r="G22" i="5"/>
  <c r="G18" i="5"/>
  <c r="G19" i="5"/>
  <c r="G20" i="5"/>
  <c r="G17" i="5"/>
  <c r="G14" i="5"/>
  <c r="G15" i="5"/>
  <c r="G13" i="5"/>
  <c r="G11" i="5"/>
  <c r="G10" i="5"/>
  <c r="F27" i="5"/>
  <c r="F28" i="5"/>
  <c r="F29" i="5"/>
  <c r="F30" i="5"/>
  <c r="F26" i="5"/>
  <c r="F23" i="5"/>
  <c r="F24" i="5"/>
  <c r="F22" i="5"/>
  <c r="F18" i="5"/>
  <c r="F19" i="5"/>
  <c r="F20" i="5"/>
  <c r="F17" i="5"/>
  <c r="F14" i="5"/>
  <c r="F15" i="5"/>
  <c r="F13" i="5"/>
  <c r="F11" i="5"/>
  <c r="F10" i="5"/>
  <c r="E27" i="5"/>
  <c r="E28" i="5"/>
  <c r="E29" i="5"/>
  <c r="E30" i="5"/>
  <c r="E26" i="5"/>
  <c r="E23" i="5"/>
  <c r="E24" i="5"/>
  <c r="E22" i="5"/>
  <c r="E18" i="5"/>
  <c r="E19" i="5"/>
  <c r="E20" i="5"/>
  <c r="E17" i="5"/>
  <c r="E14" i="5"/>
  <c r="E15" i="5"/>
  <c r="E13" i="5"/>
  <c r="E11" i="5"/>
  <c r="E10" i="5"/>
  <c r="G6" i="13"/>
  <c r="G5" i="13"/>
  <c r="F5" i="13"/>
  <c r="E5" i="13"/>
  <c r="D5" i="13"/>
  <c r="N1" i="13"/>
  <c r="A1" i="13"/>
  <c r="G6" i="12"/>
  <c r="G5" i="12"/>
  <c r="F5" i="12"/>
  <c r="E5" i="12"/>
  <c r="D5" i="12"/>
  <c r="N1" i="12"/>
  <c r="A1" i="12"/>
  <c r="G6" i="11"/>
  <c r="G5" i="11"/>
  <c r="F5" i="11"/>
  <c r="E5" i="11"/>
  <c r="D5" i="11"/>
  <c r="N1" i="11"/>
  <c r="A1" i="11"/>
  <c r="A1" i="4"/>
  <c r="A1" i="8"/>
  <c r="A1" i="6"/>
  <c r="A1" i="9"/>
  <c r="A1" i="2"/>
  <c r="A1" i="5"/>
  <c r="F12" i="5" l="1"/>
  <c r="G16" i="5"/>
  <c r="F16" i="5"/>
  <c r="G12" i="5"/>
  <c r="G31" i="5"/>
  <c r="G25" i="5"/>
  <c r="F31" i="5"/>
  <c r="E31" i="5"/>
  <c r="F25" i="5"/>
  <c r="G21" i="5"/>
  <c r="F21" i="5"/>
  <c r="I6" i="8"/>
  <c r="I5" i="8"/>
  <c r="E5" i="8"/>
  <c r="I1" i="8" l="1"/>
  <c r="U3" i="6"/>
  <c r="U3" i="9"/>
  <c r="AF1" i="5"/>
  <c r="N1" i="4"/>
  <c r="J1" i="2"/>
  <c r="C3" i="9"/>
  <c r="R6" i="5"/>
  <c r="R5" i="5"/>
  <c r="P5" i="5"/>
  <c r="L5" i="5"/>
  <c r="H5" i="5"/>
  <c r="D5" i="4"/>
  <c r="C5" i="8"/>
  <c r="C3" i="6"/>
  <c r="G6" i="4" l="1"/>
  <c r="G5" i="4"/>
  <c r="F5" i="4"/>
  <c r="AG30" i="5"/>
  <c r="AG29" i="5"/>
  <c r="AG28" i="5"/>
  <c r="AG27" i="5"/>
  <c r="AG26" i="5"/>
  <c r="AG24" i="5"/>
  <c r="AG23" i="5"/>
  <c r="AG22" i="5"/>
  <c r="AG20" i="5"/>
  <c r="AG19" i="5"/>
  <c r="AG18" i="5"/>
  <c r="AG17" i="5"/>
  <c r="AG15" i="5"/>
  <c r="AG14" i="5"/>
  <c r="AG13" i="5"/>
  <c r="AG11" i="5"/>
  <c r="AG10" i="5"/>
  <c r="AB30" i="5"/>
  <c r="AB29" i="5"/>
  <c r="AB28" i="5"/>
  <c r="AB27" i="5"/>
  <c r="AB26" i="5"/>
  <c r="AB24" i="5"/>
  <c r="AB23" i="5"/>
  <c r="AB22" i="5"/>
  <c r="AB20" i="5"/>
  <c r="AB19" i="5"/>
  <c r="AB18" i="5"/>
  <c r="AB17" i="5"/>
  <c r="AB15" i="5"/>
  <c r="AB14" i="5"/>
  <c r="AB13" i="5"/>
  <c r="AB11" i="5"/>
  <c r="AB10" i="5"/>
  <c r="W30" i="5"/>
  <c r="W29" i="5"/>
  <c r="W28" i="5"/>
  <c r="W27" i="5"/>
  <c r="W26" i="5"/>
  <c r="W24" i="5"/>
  <c r="W23" i="5"/>
  <c r="W22" i="5"/>
  <c r="W20" i="5"/>
  <c r="W19" i="5"/>
  <c r="W18" i="5"/>
  <c r="W17" i="5"/>
  <c r="W15" i="5"/>
  <c r="W14" i="5"/>
  <c r="W13" i="5"/>
  <c r="W11" i="5"/>
  <c r="W10" i="5"/>
  <c r="R30" i="5"/>
  <c r="R29" i="5"/>
  <c r="R28" i="5"/>
  <c r="R27" i="5"/>
  <c r="R26" i="5"/>
  <c r="R24" i="5"/>
  <c r="R23" i="5"/>
  <c r="R22" i="5"/>
  <c r="R20" i="5"/>
  <c r="R19" i="5"/>
  <c r="R18" i="5"/>
  <c r="R17" i="5"/>
  <c r="R15" i="5"/>
  <c r="R14" i="5"/>
  <c r="R13" i="5"/>
  <c r="R11" i="5"/>
  <c r="R10" i="5"/>
  <c r="M30" i="5"/>
  <c r="M29" i="5"/>
  <c r="M28" i="5"/>
  <c r="M27" i="5"/>
  <c r="M26" i="5"/>
  <c r="M24" i="5"/>
  <c r="M23" i="5"/>
  <c r="M22" i="5"/>
  <c r="M20" i="5"/>
  <c r="M19" i="5"/>
  <c r="M18" i="5"/>
  <c r="M17" i="5"/>
  <c r="M15" i="5"/>
  <c r="M14" i="5"/>
  <c r="M13" i="5"/>
  <c r="M11" i="5"/>
  <c r="M10" i="5"/>
  <c r="AF31" i="5"/>
  <c r="AE31" i="5"/>
  <c r="AD31" i="5"/>
  <c r="AC31" i="5"/>
  <c r="AA31" i="5"/>
  <c r="Z31" i="5"/>
  <c r="Y31" i="5"/>
  <c r="X31" i="5"/>
  <c r="V31" i="5"/>
  <c r="U31" i="5"/>
  <c r="T31" i="5"/>
  <c r="S31" i="5"/>
  <c r="Q31" i="5"/>
  <c r="P31" i="5"/>
  <c r="O31" i="5"/>
  <c r="N31" i="5"/>
  <c r="L31" i="5"/>
  <c r="K31" i="5"/>
  <c r="J31" i="5"/>
  <c r="I31" i="5"/>
  <c r="AG12" i="5" l="1"/>
  <c r="R25" i="5"/>
  <c r="AB12" i="5"/>
  <c r="M25" i="5"/>
  <c r="AG16" i="5"/>
  <c r="AG25" i="5"/>
  <c r="AG31" i="5"/>
  <c r="AG21" i="5"/>
  <c r="AB16" i="5"/>
  <c r="AB31" i="5"/>
  <c r="AB25" i="5"/>
  <c r="AB21" i="5"/>
  <c r="W31" i="5"/>
  <c r="W25" i="5"/>
  <c r="W16" i="5"/>
  <c r="W12" i="5"/>
  <c r="W21" i="5"/>
  <c r="R31" i="5"/>
  <c r="R21" i="5"/>
  <c r="R16" i="5"/>
  <c r="R12" i="5"/>
  <c r="M12" i="5"/>
  <c r="M31" i="5"/>
  <c r="M21" i="5"/>
  <c r="M16" i="5"/>
  <c r="E25" i="5"/>
  <c r="I25" i="5"/>
  <c r="J25" i="5"/>
  <c r="K25" i="5"/>
  <c r="L25" i="5"/>
  <c r="N25" i="5"/>
  <c r="O25" i="5"/>
  <c r="P25" i="5"/>
  <c r="Q25" i="5"/>
  <c r="S25" i="5"/>
  <c r="T25" i="5"/>
  <c r="U25" i="5"/>
  <c r="V25" i="5"/>
  <c r="X25" i="5"/>
  <c r="Y25" i="5"/>
  <c r="Z25" i="5"/>
  <c r="AA25" i="5"/>
  <c r="AC25" i="5"/>
  <c r="AD25" i="5"/>
  <c r="AE25" i="5"/>
  <c r="AF25" i="5"/>
  <c r="E21" i="5"/>
  <c r="I21" i="5"/>
  <c r="J21" i="5"/>
  <c r="K21" i="5"/>
  <c r="L21" i="5"/>
  <c r="N21" i="5"/>
  <c r="O21" i="5"/>
  <c r="P21" i="5"/>
  <c r="Q21" i="5"/>
  <c r="S21" i="5"/>
  <c r="T21" i="5"/>
  <c r="U21" i="5"/>
  <c r="V21" i="5"/>
  <c r="X21" i="5"/>
  <c r="Y21" i="5"/>
  <c r="Z21" i="5"/>
  <c r="AA21" i="5"/>
  <c r="AC21" i="5"/>
  <c r="AD21" i="5"/>
  <c r="AE21" i="5"/>
  <c r="AF21" i="5"/>
  <c r="E16" i="5"/>
  <c r="I16" i="5"/>
  <c r="J16" i="5"/>
  <c r="K16" i="5"/>
  <c r="L16" i="5"/>
  <c r="N16" i="5"/>
  <c r="O16" i="5"/>
  <c r="P16" i="5"/>
  <c r="Q16" i="5"/>
  <c r="S16" i="5"/>
  <c r="T16" i="5"/>
  <c r="U16" i="5"/>
  <c r="V16" i="5"/>
  <c r="X16" i="5"/>
  <c r="Y16" i="5"/>
  <c r="Z16" i="5"/>
  <c r="AA16" i="5"/>
  <c r="AC16" i="5"/>
  <c r="AD16" i="5"/>
  <c r="AE16" i="5"/>
  <c r="AF16" i="5"/>
  <c r="E12" i="5"/>
  <c r="I12" i="5"/>
  <c r="J12" i="5"/>
  <c r="K12" i="5"/>
  <c r="L12" i="5"/>
  <c r="N12" i="5"/>
  <c r="O12" i="5"/>
  <c r="P12" i="5"/>
  <c r="Q12" i="5"/>
  <c r="S12" i="5"/>
  <c r="T12" i="5"/>
  <c r="U12" i="5"/>
  <c r="V12" i="5"/>
  <c r="X12" i="5"/>
  <c r="Y12" i="5"/>
  <c r="Z12" i="5"/>
  <c r="AA12" i="5"/>
  <c r="AC12" i="5"/>
  <c r="AD12" i="5"/>
  <c r="AE12" i="5"/>
  <c r="AF12" i="5"/>
  <c r="D5" i="8" l="1"/>
  <c r="C10" i="5" l="1"/>
  <c r="C11" i="5"/>
  <c r="C13" i="5"/>
  <c r="C14" i="5"/>
  <c r="C15" i="5"/>
  <c r="C17" i="5"/>
  <c r="C18" i="5"/>
  <c r="C19" i="5"/>
  <c r="C20" i="5"/>
  <c r="C22" i="5"/>
  <c r="C23" i="5"/>
  <c r="C24" i="5"/>
  <c r="C26" i="5"/>
  <c r="E5" i="4"/>
  <c r="C30" i="5"/>
  <c r="C29" i="5"/>
  <c r="C28" i="5"/>
  <c r="C27" i="5"/>
  <c r="C31" i="5" l="1"/>
  <c r="C16" i="5"/>
  <c r="C25" i="5"/>
  <c r="C21" i="5"/>
  <c r="C12" i="5"/>
  <c r="D13" i="5"/>
  <c r="D14" i="5"/>
  <c r="H14" i="5" s="1"/>
  <c r="D15" i="5"/>
  <c r="H15" i="5" s="1"/>
  <c r="D17" i="5"/>
  <c r="D18" i="5"/>
  <c r="H18" i="5" s="1"/>
  <c r="D19" i="5"/>
  <c r="H19" i="5" s="1"/>
  <c r="D20" i="5"/>
  <c r="H20" i="5" s="1"/>
  <c r="D22" i="5"/>
  <c r="D23" i="5"/>
  <c r="H23" i="5" s="1"/>
  <c r="D24" i="5"/>
  <c r="H24" i="5" s="1"/>
  <c r="D26" i="5"/>
  <c r="D27" i="5"/>
  <c r="H27" i="5" s="1"/>
  <c r="D28" i="5"/>
  <c r="H28" i="5" s="1"/>
  <c r="D29" i="5"/>
  <c r="H29" i="5" s="1"/>
  <c r="D30" i="5"/>
  <c r="H30" i="5" s="1"/>
  <c r="D11" i="5"/>
  <c r="H11" i="5" s="1"/>
  <c r="D31" i="5" l="1"/>
  <c r="H26" i="5"/>
  <c r="H31" i="5" s="1"/>
  <c r="H13" i="5"/>
  <c r="H16" i="5" s="1"/>
  <c r="D16" i="5"/>
  <c r="H22" i="5"/>
  <c r="H25" i="5" s="1"/>
  <c r="D25" i="5"/>
  <c r="D21" i="5"/>
  <c r="H17" i="5"/>
  <c r="H21" i="5" s="1"/>
  <c r="H10" i="5"/>
  <c r="H12" i="5" s="1"/>
  <c r="D12" i="5"/>
</calcChain>
</file>

<file path=xl/sharedStrings.xml><?xml version="1.0" encoding="utf-8"?>
<sst xmlns="http://schemas.openxmlformats.org/spreadsheetml/2006/main" count="1933" uniqueCount="397">
  <si>
    <t>Tabs Entry</t>
  </si>
  <si>
    <t>Tabs Hidden</t>
  </si>
  <si>
    <t>First Name</t>
  </si>
  <si>
    <t>Surname</t>
  </si>
  <si>
    <t>Category</t>
  </si>
  <si>
    <t>Working Towards</t>
  </si>
  <si>
    <t>Institution</t>
  </si>
  <si>
    <t>Previous Experience</t>
  </si>
  <si>
    <t>Locked down</t>
  </si>
  <si>
    <t>Drop Down</t>
  </si>
  <si>
    <t>Date</t>
  </si>
  <si>
    <t>Registered as</t>
  </si>
  <si>
    <t>Yes No</t>
  </si>
  <si>
    <t>Yes</t>
  </si>
  <si>
    <t>No</t>
  </si>
  <si>
    <t>Categories</t>
  </si>
  <si>
    <t>ICTTech</t>
  </si>
  <si>
    <t>EngTech</t>
  </si>
  <si>
    <t>Level</t>
  </si>
  <si>
    <t>Associate</t>
  </si>
  <si>
    <t>Member</t>
  </si>
  <si>
    <t>Fellow</t>
  </si>
  <si>
    <t>Hon Fellow</t>
  </si>
  <si>
    <t>Institutions</t>
  </si>
  <si>
    <t>None</t>
  </si>
  <si>
    <t>Aff/ Student</t>
  </si>
  <si>
    <t>BCS, The Chartered Institute for IT</t>
  </si>
  <si>
    <t>British Institute of Non-Destructive Testing (BINDT)</t>
  </si>
  <si>
    <t>Chartered Institution of Building Services Engineers (CIBSE)</t>
  </si>
  <si>
    <t>Chartered Institution of Highways &amp; Transportation (CIHT)</t>
  </si>
  <si>
    <t>Chartered Institute of Plumbing and Heating Engineering (CIPHE)</t>
  </si>
  <si>
    <t>Chartered Institution of Water and Environmental Management (CIWEM)</t>
  </si>
  <si>
    <t>Energy Institute (EI)</t>
  </si>
  <si>
    <t>Institution of Agricultural Engineers (IAgrE)</t>
  </si>
  <si>
    <t>Institution of Civil Engineers (ICE)</t>
  </si>
  <si>
    <t>Institution of Chemical Engineers (IChemE)</t>
  </si>
  <si>
    <t>Institute of Cast Metals Engineers (ICME) - licence suspended on 20 April 2018</t>
  </si>
  <si>
    <t>Institution of Engineering Designers (IED)</t>
  </si>
  <si>
    <t>Institution of Engineering and Technology (IET)</t>
  </si>
  <si>
    <t>Institution of Fire Engineers (IFE)</t>
  </si>
  <si>
    <t>Institution of Gas Engineers and Managers (IGEM)</t>
  </si>
  <si>
    <t>Institute of Highway Engineers (IHE)</t>
  </si>
  <si>
    <t>Institute of Healthcare Engineering and Estate Management (IHEEM)</t>
  </si>
  <si>
    <t>Institution of Lighting Professionals (ILP)</t>
  </si>
  <si>
    <t>Institute of Marine Engineering, Science &amp; Technology (IMarEST)</t>
  </si>
  <si>
    <t>Institution of Mechanical Engineers (IMechE)</t>
  </si>
  <si>
    <t>Institute of Measurement and Control (InstMC)</t>
  </si>
  <si>
    <t>Institution of Royal Engineers (InstRE)</t>
  </si>
  <si>
    <t>Institute of Acoustics (IOA)</t>
  </si>
  <si>
    <t>Institute of Materials, Minerals and Mining (IOM3)</t>
  </si>
  <si>
    <t>Institute of Physics (IOP)</t>
  </si>
  <si>
    <t>Institute of Physics and Engineering in Medicine (IPEM)</t>
  </si>
  <si>
    <t>Institution of Railway Signal Engineers (IRSE)</t>
  </si>
  <si>
    <t>Institution of Structural Engineers (IStructE)</t>
  </si>
  <si>
    <t>Institute of Water</t>
  </si>
  <si>
    <t>Nuclear Institute (NI)</t>
  </si>
  <si>
    <t>Royal Aeronautical Society (RAeS)</t>
  </si>
  <si>
    <t>Royal Institution of Naval Architects (RINA)</t>
  </si>
  <si>
    <t>Society of Environmental Engineers (SEE)</t>
  </si>
  <si>
    <t>The Society of Operations Engineers (SOE)</t>
  </si>
  <si>
    <t>The Welding Institute</t>
  </si>
  <si>
    <t>BCS</t>
  </si>
  <si>
    <t>BINDT</t>
  </si>
  <si>
    <t>CIBSE</t>
  </si>
  <si>
    <t>CIHT</t>
  </si>
  <si>
    <t>CIPHE</t>
  </si>
  <si>
    <t>CIWEM</t>
  </si>
  <si>
    <t>EI</t>
  </si>
  <si>
    <t>IAgrE</t>
  </si>
  <si>
    <t>ICE</t>
  </si>
  <si>
    <t>IChemE</t>
  </si>
  <si>
    <t>IED</t>
  </si>
  <si>
    <t>IET</t>
  </si>
  <si>
    <t>IFE</t>
  </si>
  <si>
    <t>IGEM</t>
  </si>
  <si>
    <t>IHE</t>
  </si>
  <si>
    <t>IHEEM</t>
  </si>
  <si>
    <t>ILP</t>
  </si>
  <si>
    <t>IMarEST</t>
  </si>
  <si>
    <t>IMechE</t>
  </si>
  <si>
    <t>InstMC</t>
  </si>
  <si>
    <t>InstRE</t>
  </si>
  <si>
    <t>IOA</t>
  </si>
  <si>
    <t>IOM3</t>
  </si>
  <si>
    <t>IOP</t>
  </si>
  <si>
    <t>IPEM</t>
  </si>
  <si>
    <t>IRSE</t>
  </si>
  <si>
    <t>IStructE</t>
  </si>
  <si>
    <t>IoW</t>
  </si>
  <si>
    <t>NI</t>
  </si>
  <si>
    <t>RAeS</t>
  </si>
  <si>
    <t>RINA</t>
  </si>
  <si>
    <t>SEE</t>
  </si>
  <si>
    <t>SOE</t>
  </si>
  <si>
    <t>TWI</t>
  </si>
  <si>
    <t>IEng</t>
  </si>
  <si>
    <t>CEng</t>
  </si>
  <si>
    <t>Electronically Signed by Mentee:</t>
  </si>
  <si>
    <t>Electronically Signed by Mentor:</t>
  </si>
  <si>
    <t>Competence Level</t>
  </si>
  <si>
    <t>Competence A</t>
  </si>
  <si>
    <t>Competence B</t>
  </si>
  <si>
    <t>Competence C</t>
  </si>
  <si>
    <t>Competence D</t>
  </si>
  <si>
    <t>Competence E</t>
  </si>
  <si>
    <t xml:space="preserve"> </t>
  </si>
  <si>
    <t>Mentee Self Assessment</t>
  </si>
  <si>
    <t>Mentor Assessment</t>
  </si>
  <si>
    <t>Agreed Assessment</t>
  </si>
  <si>
    <t>A1</t>
  </si>
  <si>
    <t>A2</t>
  </si>
  <si>
    <t>B1</t>
  </si>
  <si>
    <t>B2</t>
  </si>
  <si>
    <t>B3</t>
  </si>
  <si>
    <t>C1</t>
  </si>
  <si>
    <t>C2</t>
  </si>
  <si>
    <t>C3</t>
  </si>
  <si>
    <t>C4</t>
  </si>
  <si>
    <t>D1</t>
  </si>
  <si>
    <t>D2</t>
  </si>
  <si>
    <t>D3</t>
  </si>
  <si>
    <t>E1</t>
  </si>
  <si>
    <t>E2</t>
  </si>
  <si>
    <t>E3</t>
  </si>
  <si>
    <t>E4</t>
  </si>
  <si>
    <t>E5</t>
  </si>
  <si>
    <t>Claimed</t>
  </si>
  <si>
    <t>Agreed</t>
  </si>
  <si>
    <t>Assessed</t>
  </si>
  <si>
    <t>Start</t>
  </si>
  <si>
    <t>Membership    Level</t>
  </si>
  <si>
    <t>Mentor #2 &amp; #3 below only to be completed if mentor changed during development</t>
  </si>
  <si>
    <t>Tutor #2 &amp; #3 below only to be completed if Tutor  changed during Aprenticeship</t>
  </si>
  <si>
    <t>Manager #2 &amp; #3 below only to be completed if Manager  changed during Aprenticeship</t>
  </si>
  <si>
    <t>Mentor Comments</t>
  </si>
  <si>
    <t>Apprentice Manager Comments</t>
  </si>
  <si>
    <t xml:space="preserve">UK Spec Code </t>
  </si>
  <si>
    <t>This feedback is mandatory for Graduates and the comments must provide positive and constructive feedback as well as the assessment levels against UK-SPEC. Feedback and agreed levels should be discussed and entered on this for. The Mentor should also discuss and suggest objectives for the next quarter.</t>
  </si>
  <si>
    <t>Programme</t>
  </si>
  <si>
    <t>Grad Scheme</t>
  </si>
  <si>
    <t>PGDip</t>
  </si>
  <si>
    <t>DTS</t>
  </si>
  <si>
    <t>AEP</t>
  </si>
  <si>
    <t>Average Starting Competence</t>
  </si>
  <si>
    <t>Electronically Signed by:</t>
  </si>
  <si>
    <t>Mentee</t>
  </si>
  <si>
    <t>Mentor</t>
  </si>
  <si>
    <t>Manager</t>
  </si>
  <si>
    <t>Tutor</t>
  </si>
  <si>
    <t>Safe Guarding</t>
  </si>
  <si>
    <t>Prevent</t>
  </si>
  <si>
    <t>20% Offthe Job</t>
  </si>
  <si>
    <t>Attendance</t>
  </si>
  <si>
    <t>Excellent</t>
  </si>
  <si>
    <t>Concerning</t>
  </si>
  <si>
    <t>Satisfactory</t>
  </si>
  <si>
    <t>This feedback is mandatory for Apprentices and the comments must provide positive and constructive feedback. Attendance, progress, agreed objectives and any reasonable adjustments required for the next quarter must be be discussed and entered in this box:</t>
  </si>
  <si>
    <t>Electronically Signed by Tutor:</t>
  </si>
  <si>
    <t>Electronically Signed by Manager:</t>
  </si>
  <si>
    <r>
      <t xml:space="preserve">Developing Engineer </t>
    </r>
    <r>
      <rPr>
        <b/>
        <sz val="11"/>
        <color theme="1"/>
        <rFont val="Arial"/>
        <family val="2"/>
      </rPr>
      <t>(Apprentice/Mentee)</t>
    </r>
  </si>
  <si>
    <r>
      <t>Registered Engineer</t>
    </r>
    <r>
      <rPr>
        <b/>
        <sz val="12"/>
        <color theme="1"/>
        <rFont val="Arial"/>
        <family val="2"/>
      </rPr>
      <t xml:space="preserve"> (Mentor #1)</t>
    </r>
  </si>
  <si>
    <r>
      <t xml:space="preserve">Registered Engineer </t>
    </r>
    <r>
      <rPr>
        <b/>
        <sz val="12"/>
        <color theme="1"/>
        <rFont val="Arial"/>
        <family val="2"/>
      </rPr>
      <t>(Mentor #2)</t>
    </r>
  </si>
  <si>
    <r>
      <t xml:space="preserve">Registered Engineer </t>
    </r>
    <r>
      <rPr>
        <b/>
        <sz val="12"/>
        <color theme="1"/>
        <rFont val="Arial"/>
        <family val="2"/>
      </rPr>
      <t>(Mentor #3)</t>
    </r>
  </si>
  <si>
    <r>
      <t xml:space="preserve">Apprentice Tutor </t>
    </r>
    <r>
      <rPr>
        <b/>
        <sz val="12"/>
        <color theme="1"/>
        <rFont val="Arial"/>
        <family val="2"/>
      </rPr>
      <t>(#1)</t>
    </r>
  </si>
  <si>
    <r>
      <t xml:space="preserve">Apprentice Tutor </t>
    </r>
    <r>
      <rPr>
        <b/>
        <sz val="12"/>
        <color theme="1"/>
        <rFont val="Arial"/>
        <family val="2"/>
      </rPr>
      <t>(#2)</t>
    </r>
  </si>
  <si>
    <r>
      <t xml:space="preserve">Apprentice Tutor </t>
    </r>
    <r>
      <rPr>
        <b/>
        <sz val="12"/>
        <color theme="1"/>
        <rFont val="Arial"/>
        <family val="2"/>
      </rPr>
      <t>(#3)</t>
    </r>
  </si>
  <si>
    <r>
      <t xml:space="preserve">Apprentice Manager </t>
    </r>
    <r>
      <rPr>
        <b/>
        <sz val="12"/>
        <color theme="1"/>
        <rFont val="Arial"/>
        <family val="2"/>
      </rPr>
      <t>(#1)</t>
    </r>
  </si>
  <si>
    <r>
      <t xml:space="preserve">Apprentice Manager </t>
    </r>
    <r>
      <rPr>
        <b/>
        <sz val="12"/>
        <color theme="1"/>
        <rFont val="Arial"/>
        <family val="2"/>
      </rPr>
      <t>(#2)</t>
    </r>
  </si>
  <si>
    <r>
      <t xml:space="preserve">Apprentice Manager </t>
    </r>
    <r>
      <rPr>
        <b/>
        <sz val="12"/>
        <color theme="1"/>
        <rFont val="Arial"/>
        <family val="2"/>
      </rPr>
      <t>(#3)</t>
    </r>
  </si>
  <si>
    <t>year 1 R1</t>
  </si>
  <si>
    <t>year 2 R1</t>
  </si>
  <si>
    <t>year 3 R1</t>
  </si>
  <si>
    <t>year 4 R1</t>
  </si>
  <si>
    <t>year 5 R1</t>
  </si>
  <si>
    <t>year 6 R1</t>
  </si>
  <si>
    <t>year 1 R2</t>
  </si>
  <si>
    <t>year 2 R2</t>
  </si>
  <si>
    <t>year 3 R2</t>
  </si>
  <si>
    <t>year 4 R2</t>
  </si>
  <si>
    <t>year 5 R2</t>
  </si>
  <si>
    <t>year 6 R2</t>
  </si>
  <si>
    <t>year 1 R3</t>
  </si>
  <si>
    <t>year 2 R3</t>
  </si>
  <si>
    <t>year 3 R3</t>
  </si>
  <si>
    <t>year 5 R3</t>
  </si>
  <si>
    <t>year 4 R3</t>
  </si>
  <si>
    <t>year 6 R3</t>
  </si>
  <si>
    <t>year 1 R4</t>
  </si>
  <si>
    <t>year 2 R4</t>
  </si>
  <si>
    <t>year 3 R4</t>
  </si>
  <si>
    <t>year 4 R4</t>
  </si>
  <si>
    <t>year 5 R4</t>
  </si>
  <si>
    <t>year 6 R4</t>
  </si>
  <si>
    <t>Progress Slope</t>
  </si>
  <si>
    <t>Copied Info</t>
  </si>
  <si>
    <t>OTJ Time</t>
  </si>
  <si>
    <t>20% Off the Job</t>
  </si>
  <si>
    <t>Module Title</t>
  </si>
  <si>
    <t>Resit Result</t>
  </si>
  <si>
    <t>Module Code</t>
  </si>
  <si>
    <t>Module Details</t>
  </si>
  <si>
    <t>Exam / Handin Date</t>
  </si>
  <si>
    <t>Initial Result</t>
  </si>
  <si>
    <t>Mark %</t>
  </si>
  <si>
    <t>Grade</t>
  </si>
  <si>
    <t>Assignment / Exam Title</t>
  </si>
  <si>
    <t>1st</t>
  </si>
  <si>
    <t>2:1</t>
  </si>
  <si>
    <t>2:2</t>
  </si>
  <si>
    <t>3rd</t>
  </si>
  <si>
    <t>Unclassified</t>
  </si>
  <si>
    <r>
      <rPr>
        <b/>
        <sz val="12"/>
        <color theme="1"/>
        <rFont val="Arial"/>
        <family val="2"/>
      </rPr>
      <t xml:space="preserve">Developing Engineer </t>
    </r>
    <r>
      <rPr>
        <b/>
        <sz val="11"/>
        <color theme="1"/>
        <rFont val="Arial"/>
        <family val="2"/>
      </rPr>
      <t>(Apprentice/Mentee)</t>
    </r>
  </si>
  <si>
    <t>Borders</t>
  </si>
  <si>
    <t>Mentee / Mentor / Manager / Tutor Initial Information</t>
  </si>
  <si>
    <t>Course Module Results Record</t>
  </si>
  <si>
    <r>
      <t xml:space="preserve">Developing Engineer </t>
    </r>
    <r>
      <rPr>
        <b/>
        <sz val="10"/>
        <color theme="1"/>
        <rFont val="Arial"/>
        <family val="2"/>
      </rPr>
      <t>(Apprentice/Mentee)</t>
    </r>
  </si>
  <si>
    <t>CDSID</t>
  </si>
  <si>
    <t>Jaguar Land Rover Developing Engineer Professional Excellence Record</t>
  </si>
  <si>
    <t>E</t>
  </si>
  <si>
    <t>A</t>
  </si>
  <si>
    <t>B</t>
  </si>
  <si>
    <t>C</t>
  </si>
  <si>
    <t>D</t>
  </si>
  <si>
    <t>Apprentice Tutor Comments</t>
  </si>
  <si>
    <r>
      <rPr>
        <b/>
        <sz val="14"/>
        <color theme="1"/>
        <rFont val="Arial"/>
        <family val="2"/>
      </rPr>
      <t xml:space="preserve"> Apprentice? </t>
    </r>
    <r>
      <rPr>
        <b/>
        <sz val="9"/>
        <color theme="1"/>
        <rFont val="Arial"/>
        <family val="2"/>
      </rPr>
      <t>(Degree or PGDip)</t>
    </r>
  </si>
  <si>
    <t>Please outline your previous experience, in 300 to 500 words, so that your Mentor, Tutor and Manager can get to know you. This report must be a true and accurate account of your Knowledge, Understanding and Experience and must demonstrate levels of competence, which can be verified by; previous managers, or through acreditation such as EngTech or NVQ:</t>
  </si>
  <si>
    <t>Membership / Student Number</t>
  </si>
  <si>
    <t>N/A</t>
  </si>
  <si>
    <t>Date From / To</t>
  </si>
  <si>
    <t>Mentee Report</t>
  </si>
  <si>
    <t>This is the 6 week review record and is mandatory for Apprentices. The comments must provide positive and constructive feedback. Attendance, academic progress, changes to objectives and any reasonable adjustments required during this quarter. Safe guarding, prevent and off the job provision must be be discussed and recorded below:</t>
  </si>
  <si>
    <t>This is the 12 week Tripartite review record and is mandatory for Apprentices. The comments must provide positive and constructive feedback. Attendance, academic progress, agreed objectives and any reasonable adjustments required for the next quarter along with Safe guarding, prevent and off the job provision must be be discussed and recorded below:</t>
  </si>
  <si>
    <t>Please outline your development this quarter, in 500 to 600 words, for reeview by you Mentor and / or Tutor This report must be a true and accurate account of your Knowledge, Understanding and Experience and must demonstrate levels of competence, which can be verified. It should include: What have you done, What have you learned, What would you do differently, What additional support you might need and importantly for apprentices how you are achieving at least 20% OTJ Training.</t>
  </si>
  <si>
    <t>Locations</t>
  </si>
  <si>
    <t>Brown's Lane</t>
  </si>
  <si>
    <t>Castle Bromwich</t>
  </si>
  <si>
    <t>Fen End</t>
  </si>
  <si>
    <t>Gaydon</t>
  </si>
  <si>
    <t>Halewood</t>
  </si>
  <si>
    <t>Oxford Road</t>
  </si>
  <si>
    <t>Solihull</t>
  </si>
  <si>
    <t>Warwick University</t>
  </si>
  <si>
    <t>Wellesbourne</t>
  </si>
  <si>
    <t>Whitley</t>
  </si>
  <si>
    <t>Wolverhampton</t>
  </si>
  <si>
    <t>Austria</t>
  </si>
  <si>
    <t>Brazil</t>
  </si>
  <si>
    <t>China</t>
  </si>
  <si>
    <t>India</t>
  </si>
  <si>
    <t>Slovakia</t>
  </si>
  <si>
    <t>USA</t>
  </si>
  <si>
    <t>Overseas - Other</t>
  </si>
  <si>
    <t>Manchester</t>
  </si>
  <si>
    <t>Ireland</t>
  </si>
  <si>
    <t>Work Rotation Location(s) during this period</t>
  </si>
  <si>
    <r>
      <t>Memb / Stu N</t>
    </r>
    <r>
      <rPr>
        <u/>
        <sz val="14"/>
        <color theme="1"/>
        <rFont val="Arial"/>
        <family val="2"/>
      </rPr>
      <t>o</t>
    </r>
    <r>
      <rPr>
        <sz val="14"/>
        <color theme="1"/>
        <rFont val="Arial"/>
        <family val="2"/>
      </rPr>
      <t xml:space="preserve"> </t>
    </r>
  </si>
  <si>
    <t>Snapshot Saved on</t>
  </si>
  <si>
    <t>Competence Progress Data Chart</t>
  </si>
  <si>
    <t>Competences may be turning this colour during year 4 and beyond. Average competence at level 3 or above.</t>
  </si>
  <si>
    <t>Planned Date of Review</t>
  </si>
  <si>
    <t>Next Mid Review Date</t>
  </si>
  <si>
    <t>Y1 Average</t>
  </si>
  <si>
    <t>Y2 Average</t>
  </si>
  <si>
    <t>Y3 Average</t>
  </si>
  <si>
    <t>Y4 Average</t>
  </si>
  <si>
    <t>Y5 Average</t>
  </si>
  <si>
    <t>Y6 Average</t>
  </si>
  <si>
    <t>Report 2</t>
  </si>
  <si>
    <t xml:space="preserve">Report 3 </t>
  </si>
  <si>
    <t>Report 4</t>
  </si>
  <si>
    <t>Report 1</t>
  </si>
  <si>
    <t>Free or Specific Text</t>
  </si>
  <si>
    <t>Front Page (Personal data and intro report)</t>
  </si>
  <si>
    <t>Tabs View Only</t>
  </si>
  <si>
    <t>Progress (Data out put from reports)</t>
  </si>
  <si>
    <t>Competence Spiders</t>
  </si>
  <si>
    <t>Data output from agreed competence on initial and quarterly reports</t>
  </si>
  <si>
    <t>Graphical display of competence for individual and general UK Spec competences A to E</t>
  </si>
  <si>
    <t>Actual reported progress plotted against suggested development rate</t>
  </si>
  <si>
    <t>Module Results (Somewhere to keep a record of University module results)</t>
  </si>
  <si>
    <t>Member Number</t>
  </si>
  <si>
    <t>Student Number</t>
  </si>
  <si>
    <t>Should be turning this colour during year 3 and predominant in year 4. Average competence approaching L3.</t>
  </si>
  <si>
    <t>Likely to be this colour at the start and in year one. Average competence at L1 or below.</t>
  </si>
  <si>
    <t>Should be turning this colour during year 2. Average competence approaching L2, but not below L1</t>
  </si>
  <si>
    <t>Ideal Development Trajectory</t>
  </si>
  <si>
    <r>
      <rPr>
        <b/>
        <u/>
        <sz val="14"/>
        <color theme="1"/>
        <rFont val="Calibri"/>
        <family val="2"/>
        <scheme val="minor"/>
      </rPr>
      <t>Competence Development Graphs</t>
    </r>
    <r>
      <rPr>
        <sz val="14"/>
        <color theme="1"/>
        <rFont val="Calibri"/>
        <family val="2"/>
        <scheme val="minor"/>
      </rPr>
      <t xml:space="preserve"> The competence indicators agreed for each report are averaged for each full year and provide an indication of competence progression. They are intended as a guide only and the decision on the readiness to apply for IEng or CEng should be based on the examples and evidence that demonstrate the overall competence required for Category of registration being applied for.</t>
    </r>
  </si>
  <si>
    <t>Competence Levels</t>
  </si>
  <si>
    <t>1 Aware</t>
  </si>
  <si>
    <t>2 Familiar</t>
  </si>
  <si>
    <t>3 Skilled</t>
  </si>
  <si>
    <t>4 Expert</t>
  </si>
  <si>
    <t>Performs activity in some complex or non-routine contexts.
Significant responsibility and autonomy – can oversee the work of others.</t>
  </si>
  <si>
    <t xml:space="preserve">Performs activity in a range of contexts
Supervision required in more complex circumstances.
Some individual responsibility or autonomy.
</t>
  </si>
  <si>
    <t>Performs activity in a wide range of complex or non-routine contexts.
Substantial personal autonomy – can develop others within the activity.</t>
  </si>
  <si>
    <t xml:space="preserve">Performs activity with significant supervision &amp; guidance.
Performs basic routine tasks, little or no individual responsibility.
</t>
  </si>
  <si>
    <t>Welcome to the Jaguar Land Rover Developing Engineer Professional Excellence Record (DEPER)</t>
  </si>
  <si>
    <r>
      <rPr>
        <b/>
        <u/>
        <sz val="14"/>
        <color theme="1"/>
        <rFont val="Calibri"/>
        <family val="2"/>
        <scheme val="minor"/>
      </rPr>
      <t>Apprentices</t>
    </r>
    <r>
      <rPr>
        <sz val="14"/>
        <color theme="1"/>
        <rFont val="Calibri"/>
        <family val="2"/>
        <scheme val="minor"/>
      </rPr>
      <t xml:space="preserve"> DEPER is a vital record of your development progress and forms part of the mandatory documentation and recording requirements of the Apprenticeship standard.  This tool is also design to help you, your Tutor, Manager and Mentor monitor your development and is intended to replace the various recording systems provided by the PEIs that graduates would use.</t>
    </r>
  </si>
  <si>
    <r>
      <t>Tutors, Managers &amp; Mentors</t>
    </r>
    <r>
      <rPr>
        <sz val="14"/>
        <color theme="1"/>
        <rFont val="Calibri"/>
        <family val="2"/>
        <scheme val="minor"/>
      </rPr>
      <t xml:space="preserve"> This is a single point of recording and reference for any degree apprentice and/or graduates you are responsible for developing. They will be required to record their development and progress in this system by the scheme they are on and your review and feedback of their progress is vital for their engineering competence to be developed and monitored in a controlled and efficient way.</t>
    </r>
  </si>
  <si>
    <r>
      <rPr>
        <b/>
        <u/>
        <sz val="14"/>
        <color theme="1"/>
        <rFont val="Calibri"/>
        <family val="2"/>
        <scheme val="minor"/>
      </rPr>
      <t>Time to Competence</t>
    </r>
    <r>
      <rPr>
        <sz val="14"/>
        <color theme="1"/>
        <rFont val="Calibri"/>
        <family val="2"/>
        <scheme val="minor"/>
      </rPr>
      <t xml:space="preserve"> It is envisaged that a degree apprentice will take around 5 years from joining the scheme to IEng Application, however it is not a race and additional time may be required to reach UK Specification competence. Graduates working to IEng are likely to take 2 to 4 years and for CEng 3 to 6 years, but again it is about competence not time. If competence is achieved in shorter time and both mentor and developing engineer agree they are ready to apply then early applications for Professional Registration can be submitted.</t>
    </r>
  </si>
  <si>
    <r>
      <rPr>
        <b/>
        <u/>
        <sz val="14"/>
        <color theme="1"/>
        <rFont val="Calibri"/>
        <family val="2"/>
        <scheme val="minor"/>
      </rPr>
      <t>Graduate Developing Engineers</t>
    </r>
    <r>
      <rPr>
        <sz val="14"/>
        <color theme="1"/>
        <rFont val="Calibri"/>
        <family val="2"/>
        <scheme val="minor"/>
      </rPr>
      <t xml:space="preserve"> Developing Engineers working towards IEng or CEng this tool is design to help you and your mentor monitor your development against the ECuk Spec. It is intended to supplement and enhance the recording systems provided by the PEIs without creating any significant additional work. If you are signed up to IET Career Manager, or IMechE MPDS you will currently still need to report quarterly on those systems to remain eligible to be on either of those schemes.</t>
    </r>
  </si>
  <si>
    <r>
      <rPr>
        <b/>
        <u/>
        <sz val="14"/>
        <color theme="1"/>
        <rFont val="Calibri"/>
        <family val="2"/>
        <scheme val="minor"/>
      </rPr>
      <t>Competence Development Levels</t>
    </r>
    <r>
      <rPr>
        <sz val="14"/>
        <color theme="1"/>
        <rFont val="Calibri"/>
        <family val="2"/>
        <scheme val="minor"/>
      </rPr>
      <t xml:space="preserve"> The core purpose of this spreadsheet is to provide reporting and feed back on developing engineers progress on an apprenticeship, or as a graduate and should be used as fully as possible to enable individuals, mentors and managers to create the best engineers through guided and documented development. The developing Engineer's competence should be measured against the ECukSpec using 0 to 4 scale as described in the Professional Registration Manual published on the JLR Way and outlined below</t>
    </r>
  </si>
  <si>
    <r>
      <rPr>
        <b/>
        <u/>
        <sz val="14"/>
        <color theme="1"/>
        <rFont val="Calibri"/>
        <family val="2"/>
        <scheme val="minor"/>
      </rPr>
      <t>Usage Instructions</t>
    </r>
    <r>
      <rPr>
        <sz val="14"/>
        <color theme="1"/>
        <rFont val="Calibri"/>
        <family val="2"/>
        <scheme val="minor"/>
      </rPr>
      <t xml:space="preserve"> To be fair most of the forms are self explanatory and data validation instructions are applied to all cells that data can be entered into.
</t>
    </r>
    <r>
      <rPr>
        <i/>
        <sz val="12"/>
        <color theme="1"/>
        <rFont val="Calibri"/>
        <family val="2"/>
        <scheme val="minor"/>
      </rPr>
      <t>General Notes - Cells that do not require data entry are locked. Any cells which are not applicable to those not on apprenticeships will become greyed out. Where larger bodies of text are required it is strongly suggested that the paragraphs are created in word where some basic font formatting and paragraphing is possible before copying the text into the appropriate form area</t>
    </r>
    <r>
      <rPr>
        <i/>
        <sz val="14"/>
        <color theme="1"/>
        <rFont val="Calibri"/>
        <family val="2"/>
        <scheme val="minor"/>
      </rPr>
      <t xml:space="preserve">
</t>
    </r>
    <r>
      <rPr>
        <sz val="14"/>
        <color theme="1"/>
        <rFont val="Calibri"/>
        <family val="2"/>
        <scheme val="minor"/>
      </rPr>
      <t xml:space="preserve">
</t>
    </r>
    <r>
      <rPr>
        <b/>
        <u/>
        <sz val="14"/>
        <color theme="1"/>
        <rFont val="Calibri"/>
        <family val="2"/>
        <scheme val="minor"/>
      </rPr>
      <t>Front Sheet -</t>
    </r>
    <r>
      <rPr>
        <sz val="14"/>
        <color theme="1"/>
        <rFont val="Calibri"/>
        <family val="2"/>
        <scheme val="minor"/>
      </rPr>
      <t xml:space="preserve"> Complete within 2 weeks of beginning your Apprenticeship or Graduate Scheme. If you are not an apprentice ensure you select "No" in the dropdown for that question. This will grey out the areas you do not need to complete. The rest is basic details about you, your mentor, manager and tutor. Once completed you need to spend some time with your mentor to agree your starting point in terms of professional competence using the levels described above. There is no shame in putting zeros when you are just starting your development.
</t>
    </r>
    <r>
      <rPr>
        <b/>
        <u/>
        <sz val="14"/>
        <color theme="1"/>
        <rFont val="Calibri"/>
        <family val="2"/>
        <scheme val="minor"/>
      </rPr>
      <t xml:space="preserve">Quarterly Reports - </t>
    </r>
    <r>
      <rPr>
        <sz val="14"/>
        <color theme="1"/>
        <rFont val="Calibri"/>
        <family val="2"/>
        <scheme val="minor"/>
      </rPr>
      <t xml:space="preserve">These reports (e.g. Y1R1 to Y6R4) are the core of the system and are where you will record your development. The report should be succinct and an accurate reflection of what you have achieved, learned and developed over the period.
</t>
    </r>
  </si>
  <si>
    <r>
      <rPr>
        <b/>
        <u/>
        <sz val="14"/>
        <color theme="1"/>
        <rFont val="Calibri"/>
        <family val="2"/>
        <scheme val="minor"/>
      </rPr>
      <t>Module Results</t>
    </r>
    <r>
      <rPr>
        <sz val="14"/>
        <color theme="1"/>
        <rFont val="Calibri"/>
        <family val="2"/>
        <scheme val="minor"/>
      </rPr>
      <t xml:space="preserve"> The module results form is there primarily for apprentices to keep a record of their assignment and module results. The official record will be stored on OneFile and is accessible by the individual and their manager, but it is suggested that Apprentice keep a record to enable development discussions with their mentor. graduates complete additional university modules such as TAS may wish to use this form to keep a personal record of their results, but any learning authorised and paid for by JLR will be recorded on SuccessFactors.</t>
    </r>
  </si>
  <si>
    <r>
      <t xml:space="preserve">↓Field Colours </t>
    </r>
    <r>
      <rPr>
        <sz val="14"/>
        <color theme="1"/>
        <rFont val="Calibri"/>
        <family val="2"/>
      </rPr>
      <t>↓</t>
    </r>
  </si>
  <si>
    <t>Drop Down Lists for PEIs, Levels, Categories, Locations etc.……...</t>
  </si>
  <si>
    <r>
      <rPr>
        <b/>
        <u/>
        <sz val="14"/>
        <color theme="1"/>
        <rFont val="Calibri"/>
        <family val="2"/>
        <scheme val="minor"/>
      </rPr>
      <t>Purpose</t>
    </r>
    <r>
      <rPr>
        <sz val="14"/>
        <color theme="1"/>
        <rFont val="Calibri"/>
        <family val="2"/>
        <scheme val="minor"/>
      </rPr>
      <t xml:space="preserve"> The core purpose of DEPER is to record the development and progress of Technical Degree Apprentices and Graduates during their scheme against Engineering Council UK Specification (ECuk Spec) . This BETA version has been built to enable basic reporting, tracking and display of progress towards Incorporated Engineer (IEng) or Chartered Engineer (CEng). Each of the 17 current ECuk Spec competence statements can be assessed and recorded by the individual and their Professional Engineering Mentor.</t>
    </r>
  </si>
  <si>
    <r>
      <rPr>
        <b/>
        <sz val="14"/>
        <color theme="1"/>
        <rFont val="Calibri"/>
        <family val="2"/>
        <scheme val="minor"/>
      </rPr>
      <t xml:space="preserve">Competence Scores - </t>
    </r>
    <r>
      <rPr>
        <sz val="14"/>
        <color theme="1"/>
        <rFont val="Calibri"/>
        <family val="2"/>
        <scheme val="minor"/>
      </rPr>
      <t xml:space="preserve">Reflect on which competences you have developed and score them accordingly. You and your mentor will need to review these scores and agree on a value for each. You are not likely to develop all areas each quarter, so previous scores for those areas not claimed should be carried over ensuring there are agreed scores against all 17 areas. These scores create the development Slope and Spider Graphs.
</t>
    </r>
    <r>
      <rPr>
        <b/>
        <sz val="14"/>
        <color theme="1"/>
        <rFont val="Calibri"/>
        <family val="2"/>
        <scheme val="minor"/>
      </rPr>
      <t xml:space="preserve">Mentor Feedback - </t>
    </r>
    <r>
      <rPr>
        <sz val="14"/>
        <color theme="1"/>
        <rFont val="Calibri"/>
        <family val="2"/>
        <scheme val="minor"/>
      </rPr>
      <t xml:space="preserve">It is important that developing engineering receive constructive feedback and guidance. Mentor feedback should include the areas the Developing Engineer should be working on over the next quarter. Ideally for Apprentices feedback will be completed before the Tripartite meeting with their Manager and Apprentice Tutor. For PE Graduates, who are required to complete these reports as part of their scheme, feedback should be completed within 2 weeks of the report being sent to the mentor for review.
</t>
    </r>
    <r>
      <rPr>
        <b/>
        <sz val="14"/>
        <color theme="1"/>
        <rFont val="Calibri"/>
        <family val="2"/>
        <scheme val="minor"/>
      </rPr>
      <t xml:space="preserve">Tutor and Manager Feedback - </t>
    </r>
    <r>
      <rPr>
        <sz val="14"/>
        <color theme="1"/>
        <rFont val="Calibri"/>
        <family val="2"/>
        <scheme val="minor"/>
      </rPr>
      <t xml:space="preserve">This feedback is mandatory for apprentice, must be constructive and be completed either before, or during, the Tripartite Meeting. The saved PDF of the completed form must be electronically signed and saved on the day of the meeting. Graduates are not required to complete this section and will not have an apprentice tutor.
</t>
    </r>
    <r>
      <rPr>
        <b/>
        <sz val="14"/>
        <color theme="1"/>
        <rFont val="Calibri"/>
        <family val="2"/>
        <scheme val="minor"/>
      </rPr>
      <t xml:space="preserve">Tutor 6 Week Feedback - </t>
    </r>
    <r>
      <rPr>
        <sz val="14"/>
        <color theme="1"/>
        <rFont val="Calibri"/>
        <family val="2"/>
        <scheme val="minor"/>
      </rPr>
      <t xml:space="preserve">The Apprentice Tutor 6 week review will be the first entry on each report form and will feedback on progress and the set the expectations for the rest of the quarter based on the previous report.
</t>
    </r>
  </si>
  <si>
    <r>
      <rPr>
        <b/>
        <u/>
        <sz val="16"/>
        <color theme="1"/>
        <rFont val="Calibri"/>
        <family val="2"/>
        <scheme val="minor"/>
      </rPr>
      <t>Saving, Signing &amp; Storage</t>
    </r>
    <r>
      <rPr>
        <sz val="16"/>
        <color theme="1"/>
        <rFont val="Calibri"/>
        <family val="2"/>
        <scheme val="minor"/>
      </rPr>
      <t xml:space="preserve"> </t>
    </r>
    <r>
      <rPr>
        <sz val="14"/>
        <color theme="1"/>
        <rFont val="Calibri"/>
        <family val="2"/>
        <scheme val="minor"/>
      </rPr>
      <t xml:space="preserve">The spreadsheet must be kept up to date and saved as a complete file every time any data is entered.
</t>
    </r>
    <r>
      <rPr>
        <b/>
        <sz val="14"/>
        <color theme="1"/>
        <rFont val="Calibri"/>
        <family val="2"/>
        <scheme val="minor"/>
      </rPr>
      <t>-</t>
    </r>
    <r>
      <rPr>
        <sz val="14"/>
        <color theme="1"/>
        <rFont val="Calibri"/>
        <family val="2"/>
        <scheme val="minor"/>
      </rPr>
      <t xml:space="preserve">  The suggested location is an individual's OneDrive folder that the Developing Engineer then allows their Manager, Mentor and Tutor access to.
    </t>
    </r>
    <r>
      <rPr>
        <b/>
        <sz val="14"/>
        <color theme="1"/>
        <rFont val="Calibri"/>
        <family val="2"/>
        <scheme val="minor"/>
      </rPr>
      <t>-</t>
    </r>
    <r>
      <rPr>
        <sz val="14"/>
        <color theme="1"/>
        <rFont val="Calibri"/>
        <family val="2"/>
        <scheme val="minor"/>
      </rPr>
      <t xml:space="preserve">  Graduate and Apprentice cohort and scheme managers should also be given access to allow audit of the reports, which are in some cases a mandatory part of the scheme.
</t>
    </r>
    <r>
      <rPr>
        <b/>
        <sz val="14"/>
        <color theme="1"/>
        <rFont val="Calibri"/>
        <family val="2"/>
        <scheme val="minor"/>
      </rPr>
      <t xml:space="preserve">- </t>
    </r>
    <r>
      <rPr>
        <sz val="14"/>
        <color theme="1"/>
        <rFont val="Calibri"/>
        <family val="2"/>
        <scheme val="minor"/>
      </rPr>
      <t xml:space="preserve"> The permanent approved record comes from saving each completed report as a PDF using the "Save as PDF" Button, which can be found on each sheet.
-  Default office file location will be where PDFs are initially saved to this is usually the "My Documents" folder but may vary depending on your default settings.
-  The saved file will need to be moved to the OneDrive folder for sharing and keeping as a record.
</t>
    </r>
    <r>
      <rPr>
        <b/>
        <sz val="14"/>
        <color theme="1"/>
        <rFont val="Calibri"/>
        <family val="2"/>
        <scheme val="minor"/>
      </rPr>
      <t xml:space="preserve">- </t>
    </r>
    <r>
      <rPr>
        <sz val="14"/>
        <color theme="1"/>
        <rFont val="Calibri"/>
        <family val="2"/>
        <scheme val="minor"/>
      </rPr>
      <t xml:space="preserve"> PDF records then require signing electronically and storing in your OneDrive development record folder.
</t>
    </r>
    <r>
      <rPr>
        <i/>
        <sz val="12"/>
        <color theme="1"/>
        <rFont val="Calibri"/>
        <family val="2"/>
        <scheme val="minor"/>
      </rPr>
      <t xml:space="preserve">(For apprentices a copy of the PDFs will also be stored electronically by the university for their Apprenticeship records) </t>
    </r>
  </si>
  <si>
    <r>
      <rPr>
        <b/>
        <sz val="14"/>
        <color theme="1"/>
        <rFont val="Calibri"/>
        <family val="2"/>
        <scheme val="minor"/>
      </rPr>
      <t>Contents</t>
    </r>
    <r>
      <rPr>
        <sz val="14"/>
        <color theme="1"/>
        <rFont val="Calibri"/>
        <family val="2"/>
        <scheme val="minor"/>
      </rPr>
      <t xml:space="preserve"> - Below, for reference, are the contents of this work book. </t>
    </r>
  </si>
  <si>
    <r>
      <t>Year 1 Report 1</t>
    </r>
    <r>
      <rPr>
        <sz val="18"/>
        <color theme="1"/>
        <rFont val="Arial"/>
        <family val="2"/>
      </rPr>
      <t/>
    </r>
  </si>
  <si>
    <r>
      <t>Year 1 Report 2</t>
    </r>
    <r>
      <rPr>
        <sz val="18"/>
        <color theme="1"/>
        <rFont val="Arial"/>
        <family val="2"/>
      </rPr>
      <t/>
    </r>
  </si>
  <si>
    <t>Year 1 Report 3</t>
  </si>
  <si>
    <r>
      <t>Year 1 Report 4</t>
    </r>
    <r>
      <rPr>
        <sz val="18"/>
        <color theme="1"/>
        <rFont val="Arial"/>
        <family val="2"/>
      </rPr>
      <t/>
    </r>
  </si>
  <si>
    <r>
      <t>Year 2 Report 1</t>
    </r>
    <r>
      <rPr>
        <sz val="18"/>
        <color theme="1"/>
        <rFont val="Arial"/>
        <family val="2"/>
      </rPr>
      <t/>
    </r>
  </si>
  <si>
    <t>Year 2 Report 2</t>
  </si>
  <si>
    <t>Year 2 Report 3</t>
  </si>
  <si>
    <t>Year 2 Report 4</t>
  </si>
  <si>
    <t>Year 3 Report 1</t>
  </si>
  <si>
    <t>Year 3 Report 2</t>
  </si>
  <si>
    <t>Year 3 Report 3</t>
  </si>
  <si>
    <t>Year 3 Report 4</t>
  </si>
  <si>
    <t>Year 4 Report 1</t>
  </si>
  <si>
    <t>Year 4 Report 2</t>
  </si>
  <si>
    <t>Year 4 Report 3</t>
  </si>
  <si>
    <t>Year 4 Report 4</t>
  </si>
  <si>
    <t>Year 5 Report 1</t>
  </si>
  <si>
    <t>Year 5 Report 2</t>
  </si>
  <si>
    <t>Year 5 Report 3</t>
  </si>
  <si>
    <t>Year 5 Report 4</t>
  </si>
  <si>
    <t>Year 6 Report 1</t>
  </si>
  <si>
    <t>Year 6 Report 2</t>
  </si>
  <si>
    <t>Year 6 Report 3</t>
  </si>
  <si>
    <t>Year 6 Report 4</t>
  </si>
  <si>
    <t>Philip</t>
  </si>
  <si>
    <t>McGaw</t>
  </si>
  <si>
    <t>pmcgaw</t>
  </si>
  <si>
    <t>Certificate of Higher Education (Level 4).</t>
  </si>
  <si>
    <t>Electrical Engineering</t>
  </si>
  <si>
    <t>17th Edition - Level 3 Certificate in the requirements for Electrical Installations.</t>
  </si>
  <si>
    <t>Automotive SPICE: Introduction</t>
  </si>
  <si>
    <t>Diversity and Inclusion</t>
  </si>
  <si>
    <t>Engineering Basics Training</t>
  </si>
  <si>
    <t>Flat Batteries and Microcontrollers</t>
  </si>
  <si>
    <t>Understanding Selective Catalytic Reduction</t>
  </si>
  <si>
    <t>Cyber Security Awareness</t>
  </si>
  <si>
    <t>Action Counter Terrorism Awareness</t>
  </si>
  <si>
    <t>Advanced Driving Course (Class 3)</t>
  </si>
  <si>
    <t>Grade 1 Pass</t>
  </si>
  <si>
    <t>Failure Mode Avoidance (FMA) - Level 1</t>
  </si>
  <si>
    <t>EV (HEV) Safety Awareness - HEV003</t>
  </si>
  <si>
    <t>EV (HEV) Senior Authorised Person</t>
  </si>
  <si>
    <t>EV (HEV) Safety Awareness</t>
  </si>
  <si>
    <t>EV (HEV) Live Working</t>
  </si>
  <si>
    <t>n/a</t>
  </si>
  <si>
    <t>JLR Training Courses</t>
  </si>
  <si>
    <t>I have attached a copy of my application form for the IET. This document contains an abbridged out of date copy of my CV.
I have been a member of the IET before, and at the time I was awarded the level TMIET, I am looking to in the short term become MIET, with the longer term plan to acheive CEng. 
At the moment I would apprecate a re-assesment of my IET membership level, and my historical accademic qualifications would allign me with atleast EngTech.
I am currently working within JLR as an Automotive EMC and EMF Engineer, within the Electrical COC (a D grade role).
EMC is a branch of electrical engineering concerned with the unintentional generation, propagation and reception of electromagnetic energy which may cause unwanted effects such as 
electromagnetic interference (EMI) or even physical damage in operational equipment.
EMF is more involved with near field interactions, while less to do with inter component interactions there are legal issues regarding human exposure levels, this includes undertaking an EMF 
research project to better understand the implications of BS 62211, ICNIRP and GB 37130 in relation to motor vehicles.
My role is as a project manager, providing subject specialist support for around 60 automotive components for EMC compliance and assessment.
  * Specifying testing and standards relevant to the component, working with the JLR component managers to ensure compliance.
  * Reviewing test plans and test reports prepared by externally stakeholders
  * Perform review testing at component and whole vehicle integration level to enable comparison between versions of components
  * Perform Schematic, PCB and PCBA review of components to better understand test results and enable integration of modifications to enable compliance.
Project management position on the construction and setup of a new whole vehicle Conducted Immunity and Emissions facility for testing Plug in Hybrid, and 
Battery Electric vehicles (BS EN 61000-4 family of standards).
  * Health and Safety, and Risk Assessment review of facilities and procedures
  * Writing and maintaining test procedures to ensure regulatory compliance with internal and external standards
Typical EMC and EMF standards used within JLR are JLR-EMC-CS, CISPR 25 Edition 3, ICNIRP 1998 and 2010, UNECE Regulation 10, and GB 8702 2014.</t>
  </si>
  <si>
    <t>BUS140</t>
  </si>
  <si>
    <t>Business Studies A</t>
  </si>
  <si>
    <t>Coursework</t>
  </si>
  <si>
    <t>Examination</t>
  </si>
  <si>
    <t>COMM122</t>
  </si>
  <si>
    <t>Telecomunication System Principles</t>
  </si>
  <si>
    <t>COMP111</t>
  </si>
  <si>
    <t>Computer Systems and Software</t>
  </si>
  <si>
    <t>COMP112</t>
  </si>
  <si>
    <t>Internet IT and Multimedia Technonolies</t>
  </si>
  <si>
    <t>ECAL107</t>
  </si>
  <si>
    <t>Electrical Principles 1</t>
  </si>
  <si>
    <t>ECAL115</t>
  </si>
  <si>
    <t>Instumentation and Measurment</t>
  </si>
  <si>
    <t>ELEC113</t>
  </si>
  <si>
    <t>Analigue Electronics</t>
  </si>
  <si>
    <t>ELEC114</t>
  </si>
  <si>
    <t>Digital Electronics</t>
  </si>
  <si>
    <t>CNET227</t>
  </si>
  <si>
    <t>Optical Systems and Computer Networks</t>
  </si>
  <si>
    <t>Soft228</t>
  </si>
  <si>
    <t>Introduction to Java</t>
  </si>
  <si>
    <t>CPD</t>
  </si>
  <si>
    <t>Track Support Systems and Rail Anchorages</t>
  </si>
  <si>
    <t>Scott Willson Bentley Microstation Training</t>
  </si>
  <si>
    <t>EMC: Component Process</t>
  </si>
  <si>
    <t>EMC: Introduction</t>
  </si>
  <si>
    <t>ADAS (Advanced Driver Assistance Systems) – Introduction</t>
  </si>
  <si>
    <t>I am going to try and work through this initialy to comply with the "Incorporated Engineer" level of the UK Engineering 
specification level.
I have attached the apendix of the specification, and the source document for 'section E' to Y1R1. 
---------------------------------------------------------------------------------------------------------------------------------------------------------------------------------------------------------------
Incorporated Engineers maintain and manage applications of current and developing technology, and may undertake engineering design, development, manufacture, construction and operation.
Incorporated Engineers are able to demonstrate:
	• The theoretical knowledge to solve problems in developed technologies using well proven analytical techniques
	• Successful application of their knowledge to deliver engineering projects or services using established technologies and methods
	• Responsibility for project and financial planning and management together with some responsibility for leading and developing other professional staff
	• Effective interpersonal skills in communicating technical matters
	• Commitment to professional engineering values.
# The Competence and Commitment Standard for Incorporated Engineers.
Incorporated Engineers must be competent throughout their working life, by virtue of their education, training and experience, to:
A - Use a combination of general and specialist engineering knowledge and understanding to apply existing and emerging technology.
	A1 - Maintain and extend a sound theoretical approach to the application of technology in engineering practice. 
		This could include an ability to:
		• Identify the limits of own personal knowledge and skills
		• Strive to extend own technological capability 
		• Broaden and deepen own knowledge base through new applications and techniques.
	A2 - Use a sound evidence-based approach to problem-solving and contribute to continuous improvement.
		This could include an ability to:
		• Use market intelligence and knowledge of technological developments to promote and improve the effectiveness of engineering products, systems and services 
		• Contribute to the evaluation and development of continuous improvement systems
		• Apply knowledge and experience to investigate and solve problems arising during engineering tasks and implement corrective action. 
B - Apply appropriate theoretical and practical methods to design, develop, manufacture, construct, commission, operate, maintain, decommission and re-cycle engineering processes, systems, services and products.
	B1 - Identify, review and select techniques, procedures and methods to undertake engineering tasks.
		This could include an ability to: 
		• Establish users’ requirements for improvement
		• Select a review methodology
		• Fully exploit and implement current technology 
		• Review the potential for enhancing engineering practices, products, processes, systems and services, using evidence from best practice
		• Establish an action plan to implement the results of the review.
	B2 - Contribute to the design and development of engineering solutions.
		This could include an ability to:
		• Contribute to the identification and specification of design and development requirements for engineering products, processes, systems and services
		• Identify operational risks and evaluate possible engineering solutions, taking account of cost, quality, safety, reliability, appearance, fitness for purpose, security, intellectual property (IP) constraints and opportunities, and environmental impact
		• Collect and analyse results
		• Carry out necessary tests.
	B3 - Implement design solutions and contribute to their evaluation.
		This could include an ability to:
		• Secure the resources required for implementation 
		• Implement design solutions, taking account of critical constraints, including due concern for safety and sustainability
		• Identify problems during implementation and take corrective action 
		• Contribute to recommendations for improvement and actively learn from feedback on results.
C - Provide technical and commercial management.
	C1 - Plan for effective project implementation.
		This could include an ability to:
		• Identify factors affecting the project implementation
		• Carry out holistic and systematic risk identification, assessment and management 
		• Prepare and agree implementation plans and method statements 
		• Secure the necessary resources and confirm roles in project team 
		• Apply the necessary contractual arrangements with other stakeholders (client, subcontractors, suppliers, etc).
	C2 - Manage tasks, people and resources to plan and budget. 
		This could include an ability to:
		• Operate appropriate management systems
		• Work to the agreed quality standards, programme and budget, within legal and statutory requirements
		• Manage work teams, coordinating project activities 
		• Identify variations from quality standards, programme and budgets, and take corrective action 
		• Evaluate performance and recommend improvements.
	C3 - Manage teams and develop staff to meet changing technical and managerial needs.
		This could include an ability to:
		• Agree objectives and work plans with teams and individuals 
		• Identify team and individual needs, and plan for their development 
		• Reinforce team commitment to professional standards 
		• Manage and support team and individual development 
		• Assess team and individual performance, and provide feedback.
	C4 - Manage continuous quality improvement.
		This could include an ability to:
		• Ensure the application of quality management principles by team members and colleagues
		• Manage operations to maintain quality standards 
		• Evaluate projects and make recommendations for improvement.
D - Demonstrate effective interpersonal skills.		
	D1 - Communicate in English with others at all levels.
		This could include an ability to: 
		• Contribute to, chair and record meetings and discussions
		• Prepare communications, documents and reports on technical matters 
		• Exchange information and provide advice to technical and non-technical colleagues.
	D2 - Present and discuss proposals.
		This could include an ability to:
		• Prepare and deliver appropriate presentations 
		• Manage debates with audiences 
		• Feed the results back to improve the proposals 
		• Contribute to the awareness of risk.
	D3 - Demonstrate personal and social skills.
		This could include an ability to:
		• Know and manage own emotions, strengths and weaknesses
		• Be aware of the needs and concerns of others, especially where related to diversity and equality
		• Be confident and flexible in dealing with new and changing interpersonal situations 
		• Identify, agree and work towards collective goals 
		• Create, maintain and enhance productive working relationships, and resolve conflicts.
E - Demonstrate a personal commitment to professional standards, recognising obligations to society, the profession and the environment.
	E1 - Comply with relevant codes of conduct.
		This includes an ability to:
		• Comply with the rules of professional conduct of own institution
		• Manage work within all relevant legislation and regulatory frameworks, including social and employment legislation.
	E2 - Manage and apply safe systems of work.
		This could include an ability to:
		• Identify and take responsibility for own obligations for health, safety and welfare issues 
		• Manage systems that satisfy health, safety and welfare requirements 
		• Develop and implement appropriate hazard identification and risk management systems and culture
		• Manage, evaluate and improve these systems. 
		• Apply a sound knowledge of health and safety legislation.
	E3 - Undertake engineering activities in a way that contributes to sustainable development.
		This could include an ability to:
		• Operate and act responsibly, taking account of the need to progress environmental, social and economic outcomes simultaneously 
		• Provide products and services which maintain and enhance the quality of the environment and community, and meet financial objectives 
		• Understand and encourage stakeholder involvement in sustainable development 
		• Use resources efficiently and effectively.	
	E4 - Carry out and record CPD necessary to maintain and enhance competence in own area of practice including:
		• Undertake reviews of own development needs 
		• Plan how to meet personal and organisational objectives 
		• Carry out planned (and unplanned) CPD activities
		• Maintain evidence of competence development 
		• Evaluate CPD outcomes against any plans made 
		• Assist others with their own CPD.
	E5 - Exercise responsibilities in an ethical manner.
---------------------------------------------------------------------------------------------------------------------------------------------------------------------------------------------------------------</t>
  </si>
  <si>
    <t>I am going to try and work through this initialy to comply with the "Chartered Engineer" level of the UK Engineering 
specification level.
I have attached the apendix of the specification, and the source document for 'section E' to Y1R1. 
---------------------------------------------------------------------------------------------------------------------------------------------------------------------------------------------------------------
Chartered Engineers develop solutions to engineering problems using new or existing technologies, through innovation, creativity and change and/or they may have technical accountability for complex systems with significant levels of risk.
Chartered Engineers are able to demonstrate:
	• The theoretical knowledge to solve problems in new technologies and develop new analytical techniques
	• Successful application of the knowledge to deliver innovative products and services and/or take technical responsibility for complex engineering systems
	• Accountability for project, finance and personnel management and managing trade-offs between technical and socio-economic factors 
	• Skill sets necessary to develop other technical staff 
	• Effective interpersonal skills in communicating technical matters.
# The Competence and Commitment Standard for Chartered Engineers. 
Chartered Engineers must be competent throughout their working life, by virtue of their education, training and experience, to:
A - Use a combination of general and specialist engineering knowledge and understanding to optimise the application of existing and emerging technology.
	A1 - Maintain and extend a sound theoretical approach in enabling the introduction and exploitation of new and advancing technology. 
		This could include an ability to:
		• Identify the limits of own personal knowledge and skills
		• Strive to extend own technological capability 
		• Broaden and deepen own knowledge base through research and experimentation.
	A2 - Engage in the creative and innovative development of engineering technology and continuous improvement systems.
		This could include an ability to: 
		• Assess market needs and contribute to marketing strategies 
		• Identify constraints and exploit opportunities for the development and transfer of technology within own chosen field
		• Promote new applications when appropriate 
		• Secure the necessary intellectual property (IP) rights 
		• Develop and evaluate continuous improvement systems.
B - Apply appropriate theoretical and practical methods to the analysis and solution of engineering problems.
	B1 - Identify potential projects and opportunities. 
		This could include an ability to:
		• Establish and help develop solutions to meet users’ requirements 
		• Consider and implement new and emerging technologies 
		• Enhance engineering practices, products, processes, systems and services 
		• Use own knowledge of the employer’s position to assess the viability of opportunities.
	B2 - Conduct appropriate research, and undertake design and development of engineering solutions.
		This could include an ability to:
		• Identify and agree appropriate research methodologies
		• Allocate and manage resources 
		• Develop the necessary tests 
		• Collect, analyse and evaluate the relevant data 
		• Undertake engineering design 
		• Prepare, present and agree design recommendations, with appropriate analysis of risk, and taking account of cost, quality, safety, reliability, appearance, fitness for purpose, security, intellectual property (IP) constraints and opportunities, and environmental impact.
	B3 - Manage implementation of design solutions, and evaluate their effectiveness.
		This could include an ability to:
		• Ensure that the application of the design results in the appropriate practical outcome
		• Implement design solutions, taking account of critical constraints, including due concern for safety and sustainability 
		• Determine the criteria for evaluating the design solutions 
		• Evaluate the outcome against the original specification 
		• Actively learn from feedback on results to improve future design solutions and build best practice.
C - Provide technical and commercial leadership.
	C1 - Plan for effective project implementation.
		This could include an ability to: 
		• Systematically review the factors affecting the project implementation including safety and sustainability considerations 
		• Define a holistic and systematic approach to risk identification, assessment and management 
		• Lead on preparing and agreeing implementation plans and method statements 
		• Ensure that the necessary resources are secured and brief the project team 
		• Negotiate the necessary contractual arrangements with other stakeholders (client, subcontractors, suppliers, etc). 
	C2 - Plan, budget, organise, direct and control tasks, people and resources.
		This could include an ability to:
		• Set up appropriate management systems 
		• Define quality standards, programme and budget within legal and statutory requirements 
		• Organise and lead work teams, coordinating project activities 
		• Ensure that variations from quality standards, programme and budgets are identified, and that corrective action is taken
		• Gather and evaluate feedback, and recommend improvements.
	C3 - Lead teams and develop staff to meet changing technical and managerial needs.
		This could include an ability to:
		• Agree objectives and work plans with teams and individuals 
		• Identify team and individual needs, and plan for their development 
		• Reinforce team commitment to professional standards 
		• Lead and support team and individual development
		• Assess team and individual performance, and provide feedback.
	C4 - Bring about continuous improvement through quality management.
		This could include an ability to:
		• Promote quality throughout the organisation and its customer and supplier networks
		• Develop and maintain operations to meet quality standards
		• Direct project evaluation and propose recommendations for improvement.
D - Demonstrate effective interpersonal skills.
	D1 - Communicate in English with others at all levels. 
		This could include an ability to:
		• Lead, chair, contribute to and record meetings and discussions 
		• Prepare communications, documents and reports on complex matters 
		• Exchange information and provide advice to technical and non-technical colleagues.
	D2 - Present and discuss proposals.
		This could include an ability to:
		• Prepare and deliver presentations on strategic matters 
		• Lead and sustain debates with audiences 
		• Feed the results back to improve the proposals 
		• Raise the awareness of risk. 
	D3 - Demonstrate personal and social skills.
		This could include an ability to:
		• Know and manage own emotions, strengths and weaknesses
		• Be aware of the needs and concerns of others, especially where related to diversity and equality
		• Be confident and flexible in dealing with new and changing interpersonal situations
		• Identify, agree and lead work towards collective goals 
		• Create, maintain and enhance productive working relationships, and resolve conflicts.
E - Demonstrate a personal commitment to professional standards, recognising obligations to society, the profession and the environment.
	E1 - Comply with relevant codes of conduct.
		This includes an ability to: 
		• Comply with the rules of professional conduct of own institution 
		• Lead work within all relevant legislation and regulatory frameworks, including social and employment legislation. 
	E2 - Manage and apply safe systems of work. 
		This could include an ability to:
		• Identify and take responsibility for own obligations for health, safety and welfare issues
		• Ensure that systems satisfy health, safety and welfare requirements 
		• Develop and implement appropriate hazard identification and risk management systems and culture 
		• Manage, evaluate and improve these systems 
		• Apply a sound knowledge of health and safety legislation.
	E3 - Undertake engineering activities in a way that contributes to sustainable development.
		This could include an ability to:
		• Operate and act responsibly, taking account of the need to progress environmental, social and economic outcomes simultaneously 
		• Use imagination, creativity and innovation to provide products and services which maintain and enhance the quality of the environment and community, and meet financial objectives 
		• Understand and secure stakeholder involvement in sustainable development 
		• Use resources efficiently and effectively.
	E4 - Carry out and record CPD necessary to maintain and enhance competence in own area of practice including: 
		• Undertake reviews of own development needs 
		• Plan how to meet personal and organisational objectives 
		• Carry out planned (and unplanned) CPD activities 
		• Maintain evidence of competence development 
		• Evaluate CPD outcomes against any plans made 
		•	Assist others with their own CPD.
	E5 - Exercise responsibilities in an ethical manner.
---------------------------------------------------------------------------------------------------------------------------------------------------------------------------------------------------------------</t>
  </si>
  <si>
    <t>Conferences</t>
  </si>
  <si>
    <t>Electromagnetic Field 2014</t>
  </si>
  <si>
    <t>Electromagnetic Field 2016</t>
  </si>
  <si>
    <t>Electromagnetic Field 2018</t>
  </si>
  <si>
    <t>29 - 31 August 2014</t>
  </si>
  <si>
    <t>31 August - 02 September 2018</t>
  </si>
  <si>
    <t>I am going to try and work through this initially to comply with the "Engineering Technician" level of the UK Engineering 
specification level.
At the moment I have the TMIET designatory letters.
I have attached the appendix of the specification, and the source document for 'section E' to this sheet. Re-applying 
protection to sheets breaks the ability to open attached PDF files.
---------------------------------------------------------------------------------------------------------------------------------------------------------------------------------------------------------------
Engineering Technicians apply proven techniques and procedures to the solution of practical engineering problems.
Engineering Technicians are required to apply safe systems of work and are able to demonstrate:
	• Evidence of their contribution to either the design, development, manufacture, commissioning, decommissioning, 
	operation or maintenance of products, equipment, processes or services
	• Supervisory or technical responsibility
	• Effective interpersonal skills in communicating technical matters
	• Commitment to professional engineering values.
# The Competence and Commitment Standard for Engineering Technicians.
Engineering Technicians must be competent throughout their working life, by virtue of their education, training and experience, to:
A - Use engineering knowledge and understanding to apply technical and practical skills.
	A1 - Review and select appropriate techniques, procedures and methods to undertake tasks.
	A2 - Use appropriate scientific, technical or engineering principles.
B - Contribute to the design, development, manufacture, construction, commissioning, operation or maintenance of products, equipment, processes, systems or services.
	B1 - Identify problems and apply appropriate methods to identify causes and achieve satisfactory solutions
	B2 - Identify, organise and use resources effectively to complete tasks, with consideration for cost, quality, safety, security and environmental impact.
	B3 - n/a
C - Accept and exercise personal responsibility.
	C1 - Work reliably and effectively without close supervision, to the appropriate codes of practice.
	C2 - Accept responsibility for work of self or others.
	C3 - Accept, allocate and supervise technical and other tasks.
	C4 - n/a
D - Use effective communication and interpersonal skills.
	D1 - Use oral, written and electronic methods for the communication in English of technical and other information
	D2 - Work effectively with colleagues, clients, suppliers or the public, and be aware of the needs and concerns of others, especially where related to diversity and equality.
	D3 - n/a
E - Make a personal commitment to an appropriate code of professional conduct, recognising obligations to society, the profession and the environment.
	E1 - Comply with the Code of Conduct of your institution.
	E2 - Manage and apply safe systems of work.
	E3 - Undertake engineering work in a way that contributes to sustainable development. This could include an ability to:
		• Operate and act responsibly, taking account of the need to progress environmental, social and economic outcomes simultaneously.
	E4 - Carry out and record CPD necessary to maintain and enhance competence in own area of practice including:
		• Undertake reviews of own development needs
		• Plan how to meet personal and organisational objectives
		• Carry out planned (and unplanned) CPD activities 
		• Maintain evidence of competence development 
		• Evaluate CPD outcomes against any plans made
		• Assist others with their own CPD.
	E5 - Exercise responsibilities in an ethical manner.
---------------------------------------------------------------------------------------------------------------------------------------------------------------------------------------------------------------
Over my work history I have acquired several technical skills such as advanced IT skills, Analogue Electronics with a view to RF suppression, and the use of Analogue instrumentation methods and how to correctly apply them when they are the most appropriate solution.
I have experience of working with test equipment such as Spectrum Analysers, Oscilloscopes, Electromagnetic Probes, GTEM Cells, and Digital Multi-meters to analyse and interpret the physical response of a circuit and evaluate against theoretical and simulated responses.
I am experienced at deriving theoretical circuit responses mentioned above from first principles and allying mathematical principals.
Some projects I have worked on required me to reverse engineer products without any design documentation to gain an insight into how the original designer came up with the solution and what modifications should be done to improve performance or reduce cost. 
Once the product has been reverse engineered I was responsible for developing proposals such as improving the selection of components and addition of filtering to allow the device to fulfil its operational requirements and comply with EMC (Electromagnetic Compatibility) and LVD (Low Voltage Directive) directives.
This work was predominantly carried out alone, and without supervision. Research included taking notes, testing and analysing product performance, and reviewing datasheets and other technical specification documents. The use of test equipment was fundamental to this process, giving visibility on the inner workings of the circuits in the product. 
Whilst working at CASS industries, I was responsible for training my co-works in the operation of the EMC test laboratory and how to perform the tests required to certify customers equipment. This also involved making them aware of the required legislation and standards that covered different tests and classes of equipment, the Testing and Reporting workload was split between myself and the other co-workers, in the case of more technical products I would take responsibility for these due to the challenges involved with testing and reporting on them.
There was a requirement to identify a situation where a Jig would improve the productivity, efficiency or simplify a process, or even allow us to offer a service that we had not got the facilities to offer before. Once the requirement was identified, I would be responsible for designing and building test jigs using both mechanical and electrical cad and using a mixture of rapid prototyping and machine shop tools; The combining of 3D printed parts, COTS (Common Off The Shelf) parts, and Electronics requires the ability to visualise how the parts will interface
While working at JLR as an EMC Component Engineering, I have significantly improved my project and people management skills as I regularly communicate with both JLR employees and external stakeholders via Email, phone, and face to face. This includes meetings where I am the only person representing the EMC department of JLR and ensuring compliance with the legal requirements, and JLR engineering standards.
Some of the requirements I’m responsible for ensuring compliance with have safety impact, requiring the correct operation of the component over the vehicle’s entire life. One of the more problematic components I am working with is a ‘Hands on Detection’ ECU for a steering wheel, where I am collaborating with the component owner. I provide technical electrical guidance while he is talking to the manufacturer, while I also liaise with the testing facilities reporting the EMC failures and advise on component re-design to resolve the failed tests.
I have recently performed a research investigation into the applicability of GB 8702 and ICNIRP standards to JLRs line of EVs (electric vehicles). The outcome of this investigation was a presentation to my colleges with recommendations on EMC emission limits that should be applied by JLR to comply with the legal requirements in all markets. To support this work, I undertook an investigation on my own initiative to perform back to back comparison of three different types of Electromagnetic probes and justified my recommendation at the type most appropriate for supporting JLR in testing going forward. While there has been no formal change of test procedures yet, there is active discussion on what the best procedure is. I have been performing more investigation work to gain understanding about the issues around EMF and the implications regarding components within the vehicle. The longer-term output from this is to feed the understanding back into a revised version of the JLR component specification.
There is an on-gong project to build new EMC testing facilities within JLR, I was responsible for producing the technical requirements document for the two new labs, Amplifier room, and the auxiliary equipment. This document was used by three prospective suppliers to come up with technical proposals and quotes, and then was used as the basis for judging the submissions against the requirements. The outcome of this was that one supplier was awarded the work as they clearly managed to meet JLRs requirements and showed good value for money.
While at JLR I have continued to learn new skills, taking advantage of the companies training scheme to acquire more JLR qualifications that are relevant for my roll; I am also studying external courses on Coursera covering ADAS (Advanced driver-assistance systems), and other autonomous driving training, that are less focused on what I am currently doing in work, and more on where I would like to be in five years, working with more cutting edge technologies.
I hold the permits from JLR to work safely on ‘Lid off Batteries’, Live un-switched hazardous voltage, and de-power and lock off electric vehicles. I also have received training on how to perform formal and informal risk assessments, I can also authorise other staff to work on vehicles I have de powered.
Outside work I have several interests, such as industrial heritage, robotics, rapid prototyping, and photography. Some of my personal projects include: 
The Design and construction of an inexpensive PnP (pick and place) machine using common off the shelf aluminium extrusions profiles and parts of the body and mechanism are to be printed on an FDM (Fused Deposition Modelling) 3D printer. The 3D printed parts are designed by me in Fusion 360, while the PCBs are designed using KiCAD, and hand assembled.
The aim is to make a device that is easy and inexpensive to replicate and allows for the £2 level of PCBs from china to be populated in a home workshop. The objective of this project is to be able to reliably and repeatably place devices down to 0603 size. 
The Design and construction of a ROV (Remotely Operated Underwater Vehicle) that can be operated from a Laptop or iPad allowing the operator to explore underwater.
The main parts of the body are 3D printed on an FDM 3D printer. Parts of the pressure vessel are machined on a Laser Cutter, some of the smaller parts are printed using a DLP (Digital Light Processing) 3D printer.
Designing and development of a cheap educational robot platform that can be used to experiment with swarm behaviours, ML (Machine Learning) and AI (Artificial Intelligence).
This includes writing software and firmware in 'Arduino', Python and ROS (Robot Operating System).</t>
  </si>
  <si>
    <t>Demystifying EMC</t>
  </si>
  <si>
    <t>10 Febuary 2018</t>
  </si>
  <si>
    <t>05 - 07 August 2016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</si>
</sst>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yyyy;@"/>
    <numFmt numFmtId="165" formatCode="[$-F800]dddd\,\ mmmm\ dd\,\ yyyy"/>
    <numFmt numFmtId="166" formatCode="yyyy\-mm\-dd;@"/>
    <numFmt numFmtId="167" formatCode="dd\ mmm\ yyyy"/>
  </numFmts>
  <fonts count="46" x14ac:knownFonts="1">
    <font>
      <sz val="12"/>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sz val="14"/>
      <color theme="1"/>
      <name val="Calibri"/>
      <family val="2"/>
      <scheme val="minor"/>
    </font>
    <font>
      <u/>
      <sz val="12"/>
      <color theme="10"/>
      <name val="Calibri"/>
      <family val="2"/>
      <scheme val="minor"/>
    </font>
    <font>
      <sz val="14"/>
      <color theme="1"/>
      <name val="Arial"/>
      <family val="2"/>
    </font>
    <font>
      <sz val="12"/>
      <color theme="1"/>
      <name val="Arial"/>
      <family val="2"/>
    </font>
    <font>
      <sz val="16"/>
      <color theme="1"/>
      <name val="Arial"/>
      <family val="2"/>
    </font>
    <font>
      <sz val="28"/>
      <color theme="1"/>
      <name val="Arial"/>
      <family val="2"/>
    </font>
    <font>
      <sz val="11"/>
      <color theme="1"/>
      <name val="Arial"/>
      <family val="2"/>
    </font>
    <font>
      <sz val="18"/>
      <color theme="1"/>
      <name val="Arial"/>
      <family val="2"/>
    </font>
    <font>
      <i/>
      <sz val="12"/>
      <color theme="1"/>
      <name val="Arial"/>
      <family val="2"/>
    </font>
    <font>
      <b/>
      <sz val="14"/>
      <color theme="1"/>
      <name val="Arial"/>
      <family val="2"/>
    </font>
    <font>
      <i/>
      <sz val="14"/>
      <color theme="1"/>
      <name val="Arial"/>
      <family val="2"/>
    </font>
    <font>
      <b/>
      <sz val="12"/>
      <color theme="1"/>
      <name val="Arial"/>
      <family val="2"/>
    </font>
    <font>
      <b/>
      <sz val="11"/>
      <color theme="1"/>
      <name val="Arial"/>
      <family val="2"/>
    </font>
    <font>
      <i/>
      <sz val="12"/>
      <color theme="1"/>
      <name val="Calibri"/>
      <family val="2"/>
      <scheme val="minor"/>
    </font>
    <font>
      <i/>
      <sz val="11"/>
      <color theme="1"/>
      <name val="Calibri"/>
      <family val="2"/>
      <scheme val="minor"/>
    </font>
    <font>
      <b/>
      <sz val="14"/>
      <color theme="1"/>
      <name val="Calibri"/>
      <family val="2"/>
      <scheme val="minor"/>
    </font>
    <font>
      <sz val="14"/>
      <color theme="1"/>
      <name val="Calibri"/>
      <family val="2"/>
    </font>
    <font>
      <b/>
      <u/>
      <sz val="14"/>
      <color theme="1"/>
      <name val="Calibri"/>
      <family val="2"/>
      <scheme val="minor"/>
    </font>
    <font>
      <sz val="12"/>
      <color theme="1"/>
      <name val="Calibri"/>
      <family val="2"/>
      <scheme val="minor"/>
    </font>
    <font>
      <b/>
      <sz val="10"/>
      <color theme="1"/>
      <name val="Arial"/>
      <family val="2"/>
    </font>
    <font>
      <sz val="24"/>
      <color theme="1"/>
      <name val="Arial"/>
      <family val="2"/>
    </font>
    <font>
      <sz val="20"/>
      <color theme="1"/>
      <name val="Arial"/>
      <family val="2"/>
    </font>
    <font>
      <b/>
      <sz val="9"/>
      <color theme="1"/>
      <name val="Arial"/>
      <family val="2"/>
    </font>
    <font>
      <b/>
      <sz val="16"/>
      <color theme="1"/>
      <name val="Arial"/>
      <family val="2"/>
    </font>
    <font>
      <u/>
      <sz val="14"/>
      <color theme="1"/>
      <name val="Arial"/>
      <family val="2"/>
    </font>
    <font>
      <u/>
      <sz val="11"/>
      <color theme="1"/>
      <name val="Arial"/>
      <family val="2"/>
    </font>
    <font>
      <sz val="12"/>
      <color theme="0"/>
      <name val="Calibri"/>
      <family val="2"/>
      <scheme val="minor"/>
    </font>
    <font>
      <sz val="20"/>
      <color theme="1"/>
      <name val="Calibri"/>
      <family val="2"/>
      <scheme val="minor"/>
    </font>
    <font>
      <sz val="20"/>
      <color theme="0"/>
      <name val="Calibri"/>
      <family val="2"/>
      <scheme val="minor"/>
    </font>
    <font>
      <sz val="18"/>
      <color theme="1"/>
      <name val="Calibri"/>
      <family val="2"/>
      <scheme val="minor"/>
    </font>
    <font>
      <b/>
      <u/>
      <sz val="16"/>
      <color theme="1"/>
      <name val="Calibri"/>
      <family val="2"/>
      <scheme val="minor"/>
    </font>
    <font>
      <sz val="10"/>
      <color theme="1"/>
      <name val="Arial"/>
      <family val="2"/>
    </font>
    <font>
      <sz val="12"/>
      <name val="Arial"/>
      <family val="2"/>
    </font>
    <font>
      <b/>
      <u/>
      <sz val="12"/>
      <color rgb="FF0000FF"/>
      <name val="Calibri"/>
      <family val="2"/>
    </font>
    <font>
      <sz val="12"/>
      <color theme="0" tint="-0.34998626667073579"/>
      <name val="Arial"/>
      <family val="2"/>
    </font>
    <font>
      <sz val="12"/>
      <color theme="0"/>
      <name val="Arial"/>
      <family val="2"/>
    </font>
    <font>
      <b/>
      <sz val="12"/>
      <color rgb="FFFFCC66"/>
      <name val="Arial"/>
      <family val="2"/>
    </font>
    <font>
      <b/>
      <sz val="12"/>
      <color rgb="FFFF7C80"/>
      <name val="Arial"/>
      <family val="2"/>
    </font>
    <font>
      <b/>
      <sz val="12"/>
      <color rgb="FF92D050"/>
      <name val="Arial"/>
      <family val="2"/>
    </font>
    <font>
      <b/>
      <sz val="28"/>
      <color theme="1"/>
      <name val="Arial"/>
      <family val="2"/>
    </font>
    <font>
      <sz val="16"/>
      <color theme="1"/>
      <name val="Calibri"/>
      <family val="2"/>
      <scheme val="minor"/>
    </font>
    <font>
      <i/>
      <sz val="14"/>
      <color theme="1"/>
      <name val="Calibri"/>
      <family val="2"/>
      <scheme val="minor"/>
    </font>
  </fonts>
  <fills count="16">
    <fill>
      <patternFill patternType="none"/>
    </fill>
    <fill>
      <patternFill patternType="gray125"/>
    </fill>
    <fill>
      <patternFill patternType="solid">
        <fgColor theme="8" tint="0.39997558519241921"/>
        <bgColor indexed="64"/>
      </patternFill>
    </fill>
    <fill>
      <patternFill patternType="solid">
        <fgColor theme="5" tint="0.39997558519241921"/>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64"/>
      </patternFill>
    </fill>
    <fill>
      <patternFill patternType="solid">
        <fgColor rgb="FFFFCC66"/>
        <bgColor indexed="64"/>
      </patternFill>
    </fill>
    <fill>
      <patternFill patternType="solid">
        <fgColor rgb="FFFF7C80"/>
        <bgColor indexed="64"/>
      </patternFill>
    </fill>
    <fill>
      <patternFill patternType="solid">
        <fgColor rgb="FF92D050"/>
        <bgColor indexed="64"/>
      </patternFill>
    </fill>
    <fill>
      <patternFill patternType="solid">
        <fgColor rgb="FF00B050"/>
        <bgColor indexed="64"/>
      </patternFill>
    </fill>
    <fill>
      <patternFill patternType="solid">
        <fgColor theme="0" tint="-0.249977111117893"/>
        <bgColor indexed="64"/>
      </patternFill>
    </fill>
  </fills>
  <borders count="66">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style="medium">
        <color indexed="64"/>
      </bottom>
      <diagonal/>
    </border>
    <border>
      <left style="thin">
        <color indexed="64"/>
      </left>
      <right/>
      <top style="thin">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medium">
        <color indexed="64"/>
      </top>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style="thin">
        <color indexed="64"/>
      </right>
      <top/>
      <bottom style="thin">
        <color indexed="64"/>
      </bottom>
      <diagonal/>
    </border>
    <border>
      <left/>
      <right/>
      <top style="thin">
        <color indexed="64"/>
      </top>
      <bottom/>
      <diagonal/>
    </border>
    <border>
      <left/>
      <right/>
      <top style="medium">
        <color indexed="64"/>
      </top>
      <bottom style="thin">
        <color indexed="64"/>
      </bottom>
      <diagonal/>
    </border>
    <border>
      <left/>
      <right style="medium">
        <color indexed="64"/>
      </right>
      <top style="thin">
        <color indexed="64"/>
      </top>
      <bottom/>
      <diagonal/>
    </border>
    <border>
      <left/>
      <right style="medium">
        <color indexed="64"/>
      </right>
      <top style="medium">
        <color indexed="64"/>
      </top>
      <bottom style="thin">
        <color indexed="64"/>
      </bottom>
      <diagonal/>
    </border>
    <border>
      <left/>
      <right style="thin">
        <color indexed="64"/>
      </right>
      <top style="medium">
        <color indexed="64"/>
      </top>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s>
  <cellStyleXfs count="3">
    <xf numFmtId="0" fontId="0" fillId="0" borderId="0"/>
    <xf numFmtId="0" fontId="5" fillId="0" borderId="0" applyNumberFormat="0" applyFill="0" applyBorder="0" applyAlignment="0" applyProtection="0"/>
    <xf numFmtId="9" fontId="22" fillId="0" borderId="0" applyFont="0" applyFill="0" applyBorder="0" applyAlignment="0" applyProtection="0"/>
  </cellStyleXfs>
  <cellXfs count="569">
    <xf numFmtId="0" fontId="0" fillId="0" borderId="0" xfId="0"/>
    <xf numFmtId="0" fontId="4" fillId="0" borderId="0" xfId="0" applyFont="1"/>
    <xf numFmtId="0" fontId="0" fillId="0" borderId="19" xfId="0" applyBorder="1"/>
    <xf numFmtId="0" fontId="0" fillId="0" borderId="16" xfId="0" applyBorder="1"/>
    <xf numFmtId="0" fontId="0" fillId="0" borderId="20" xfId="0" applyBorder="1"/>
    <xf numFmtId="0" fontId="0" fillId="0" borderId="15" xfId="0" applyFont="1" applyBorder="1"/>
    <xf numFmtId="0" fontId="0" fillId="0" borderId="20" xfId="0" applyFont="1" applyBorder="1"/>
    <xf numFmtId="0" fontId="0" fillId="0" borderId="16" xfId="0" applyFont="1" applyBorder="1"/>
    <xf numFmtId="0" fontId="3" fillId="0" borderId="1" xfId="0" applyFont="1" applyBorder="1"/>
    <xf numFmtId="0" fontId="3" fillId="0" borderId="21" xfId="0" applyFont="1" applyBorder="1"/>
    <xf numFmtId="0" fontId="7" fillId="0" borderId="0" xfId="0" applyFont="1" applyProtection="1"/>
    <xf numFmtId="0" fontId="8" fillId="0" borderId="0" xfId="0" applyFont="1" applyProtection="1"/>
    <xf numFmtId="0" fontId="6" fillId="0" borderId="0" xfId="0" applyFont="1" applyProtection="1"/>
    <xf numFmtId="0" fontId="6" fillId="5" borderId="12" xfId="0" applyFont="1" applyFill="1" applyBorder="1" applyProtection="1"/>
    <xf numFmtId="0" fontId="7" fillId="6" borderId="17" xfId="0" applyFont="1" applyFill="1" applyBorder="1" applyProtection="1"/>
    <xf numFmtId="0" fontId="7" fillId="6" borderId="0" xfId="0" applyFont="1" applyFill="1" applyBorder="1" applyProtection="1"/>
    <xf numFmtId="0" fontId="7" fillId="6" borderId="18" xfId="0" applyFont="1" applyFill="1" applyBorder="1" applyProtection="1"/>
    <xf numFmtId="0" fontId="8" fillId="6" borderId="0" xfId="0" applyFont="1" applyFill="1" applyBorder="1" applyProtection="1"/>
    <xf numFmtId="0" fontId="6" fillId="6" borderId="0" xfId="0" applyFont="1" applyFill="1" applyBorder="1" applyProtection="1"/>
    <xf numFmtId="0" fontId="7" fillId="6" borderId="3" xfId="0" applyFont="1" applyFill="1" applyBorder="1" applyProtection="1"/>
    <xf numFmtId="0" fontId="7" fillId="6" borderId="4" xfId="0" applyFont="1" applyFill="1" applyBorder="1" applyProtection="1"/>
    <xf numFmtId="0" fontId="7" fillId="6" borderId="5" xfId="0" applyFont="1" applyFill="1" applyBorder="1" applyProtection="1"/>
    <xf numFmtId="0" fontId="7" fillId="6" borderId="6" xfId="0" applyFont="1" applyFill="1" applyBorder="1" applyProtection="1"/>
    <xf numFmtId="0" fontId="7" fillId="6" borderId="7" xfId="0" applyFont="1" applyFill="1" applyBorder="1" applyProtection="1"/>
    <xf numFmtId="0" fontId="7" fillId="6" borderId="0" xfId="0" applyFont="1" applyFill="1" applyBorder="1" applyAlignment="1" applyProtection="1">
      <alignment horizontal="center"/>
    </xf>
    <xf numFmtId="0" fontId="7" fillId="6" borderId="0" xfId="0" applyFont="1" applyFill="1" applyBorder="1" applyAlignment="1" applyProtection="1">
      <alignment horizontal="left"/>
    </xf>
    <xf numFmtId="0" fontId="14" fillId="5" borderId="1" xfId="0" applyFont="1" applyFill="1" applyBorder="1" applyAlignment="1" applyProtection="1">
      <alignment horizontal="left" wrapText="1"/>
    </xf>
    <xf numFmtId="49" fontId="6" fillId="5" borderId="32" xfId="0" applyNumberFormat="1" applyFont="1" applyFill="1" applyBorder="1" applyAlignment="1" applyProtection="1">
      <alignment horizontal="center" vertical="top" wrapText="1" readingOrder="1"/>
    </xf>
    <xf numFmtId="49" fontId="6" fillId="5" borderId="33" xfId="0" applyNumberFormat="1" applyFont="1" applyFill="1" applyBorder="1" applyAlignment="1" applyProtection="1">
      <alignment horizontal="center" vertical="top" wrapText="1" readingOrder="1"/>
    </xf>
    <xf numFmtId="49" fontId="6" fillId="5" borderId="34" xfId="0" applyNumberFormat="1" applyFont="1" applyFill="1" applyBorder="1" applyAlignment="1" applyProtection="1">
      <alignment horizontal="center" vertical="top" wrapText="1" readingOrder="1"/>
    </xf>
    <xf numFmtId="0" fontId="6" fillId="5" borderId="21" xfId="0" applyFont="1" applyFill="1" applyBorder="1" applyAlignment="1" applyProtection="1">
      <alignment horizontal="left"/>
    </xf>
    <xf numFmtId="0" fontId="6" fillId="5" borderId="34" xfId="0" applyFont="1" applyFill="1" applyBorder="1" applyAlignment="1" applyProtection="1">
      <alignment horizontal="left" vertical="center"/>
    </xf>
    <xf numFmtId="0" fontId="15" fillId="6" borderId="0" xfId="0" applyFont="1" applyFill="1" applyBorder="1" applyProtection="1"/>
    <xf numFmtId="0" fontId="3" fillId="0" borderId="15" xfId="0" applyFont="1" applyBorder="1"/>
    <xf numFmtId="0" fontId="6" fillId="6" borderId="0" xfId="0" applyFont="1" applyFill="1" applyBorder="1" applyAlignment="1" applyProtection="1">
      <alignment horizontal="left" vertical="center" wrapText="1"/>
    </xf>
    <xf numFmtId="0" fontId="6" fillId="5" borderId="32" xfId="0" applyFont="1" applyFill="1" applyBorder="1" applyAlignment="1" applyProtection="1">
      <alignment horizontal="left" vertical="center"/>
    </xf>
    <xf numFmtId="0" fontId="6" fillId="5" borderId="33" xfId="0" applyFont="1" applyFill="1" applyBorder="1" applyAlignment="1" applyProtection="1">
      <alignment horizontal="left" vertical="center"/>
    </xf>
    <xf numFmtId="0" fontId="6" fillId="5" borderId="43" xfId="0" applyFont="1" applyFill="1" applyBorder="1" applyProtection="1"/>
    <xf numFmtId="0" fontId="13" fillId="5" borderId="30" xfId="0" applyFont="1" applyFill="1" applyBorder="1" applyAlignment="1" applyProtection="1">
      <alignment horizontal="left" vertical="center"/>
    </xf>
    <xf numFmtId="0" fontId="13" fillId="5" borderId="31" xfId="0" applyFont="1" applyFill="1" applyBorder="1" applyAlignment="1" applyProtection="1">
      <alignment horizontal="left" vertical="center"/>
    </xf>
    <xf numFmtId="0" fontId="7" fillId="6" borderId="3" xfId="0" applyFont="1" applyFill="1" applyBorder="1" applyAlignment="1" applyProtection="1">
      <alignment horizontal="left" vertical="center"/>
    </xf>
    <xf numFmtId="0" fontId="8" fillId="6" borderId="0" xfId="0" applyFont="1" applyFill="1" applyBorder="1" applyAlignment="1" applyProtection="1">
      <alignment horizontal="left" vertical="center"/>
    </xf>
    <xf numFmtId="0" fontId="15" fillId="6" borderId="0" xfId="0" applyFont="1" applyFill="1" applyBorder="1" applyAlignment="1" applyProtection="1">
      <alignment horizontal="left" vertical="center"/>
    </xf>
    <xf numFmtId="0" fontId="13" fillId="5" borderId="15" xfId="0" applyFont="1" applyFill="1" applyBorder="1" applyAlignment="1" applyProtection="1">
      <alignment horizontal="left" vertical="center"/>
    </xf>
    <xf numFmtId="0" fontId="7" fillId="6" borderId="0" xfId="0" applyFont="1" applyFill="1" applyBorder="1" applyAlignment="1" applyProtection="1">
      <alignment horizontal="left" vertical="center"/>
    </xf>
    <xf numFmtId="0" fontId="7" fillId="6" borderId="6" xfId="0" applyFont="1" applyFill="1" applyBorder="1" applyAlignment="1" applyProtection="1">
      <alignment horizontal="left" vertical="center"/>
    </xf>
    <xf numFmtId="0" fontId="7" fillId="0" borderId="0" xfId="0" applyFont="1" applyAlignment="1" applyProtection="1">
      <alignment horizontal="left" vertical="center"/>
    </xf>
    <xf numFmtId="0" fontId="4" fillId="0" borderId="0" xfId="0" applyFont="1" applyFill="1"/>
    <xf numFmtId="0" fontId="4" fillId="0" borderId="0" xfId="0" applyFont="1" applyAlignment="1">
      <alignment wrapText="1"/>
    </xf>
    <xf numFmtId="0" fontId="4" fillId="0" borderId="17" xfId="0" applyFont="1" applyBorder="1"/>
    <xf numFmtId="0" fontId="19" fillId="0" borderId="2" xfId="0" applyFont="1" applyBorder="1"/>
    <xf numFmtId="0" fontId="17" fillId="3" borderId="33" xfId="0" applyFont="1" applyFill="1" applyBorder="1"/>
    <xf numFmtId="0" fontId="17" fillId="8" borderId="33" xfId="0" applyFont="1" applyFill="1" applyBorder="1"/>
    <xf numFmtId="0" fontId="17" fillId="2" borderId="33" xfId="0" applyFont="1" applyFill="1" applyBorder="1"/>
    <xf numFmtId="0" fontId="17" fillId="7" borderId="33" xfId="0" applyFont="1" applyFill="1" applyBorder="1"/>
    <xf numFmtId="0" fontId="3" fillId="0" borderId="19" xfId="0" applyFont="1" applyBorder="1"/>
    <xf numFmtId="9" fontId="0" fillId="0" borderId="0" xfId="2" applyFont="1"/>
    <xf numFmtId="165" fontId="0" fillId="0" borderId="0" xfId="0" applyNumberFormat="1"/>
    <xf numFmtId="49" fontId="0" fillId="0" borderId="20" xfId="0" applyNumberFormat="1" applyBorder="1"/>
    <xf numFmtId="49" fontId="0" fillId="0" borderId="16" xfId="0" applyNumberFormat="1" applyBorder="1"/>
    <xf numFmtId="49" fontId="0" fillId="0" borderId="19" xfId="0" applyNumberFormat="1" applyBorder="1"/>
    <xf numFmtId="0" fontId="23" fillId="6" borderId="0" xfId="0" applyFont="1" applyFill="1" applyBorder="1" applyProtection="1"/>
    <xf numFmtId="0" fontId="0" fillId="6" borderId="0" xfId="0" applyFill="1" applyBorder="1"/>
    <xf numFmtId="0" fontId="0" fillId="6" borderId="17" xfId="0" applyFill="1" applyBorder="1"/>
    <xf numFmtId="0" fontId="0" fillId="6" borderId="5" xfId="0" applyFill="1" applyBorder="1"/>
    <xf numFmtId="165" fontId="0" fillId="6" borderId="0" xfId="0" applyNumberFormat="1" applyFill="1" applyBorder="1"/>
    <xf numFmtId="9" fontId="0" fillId="6" borderId="0" xfId="2" applyFont="1" applyFill="1" applyBorder="1"/>
    <xf numFmtId="0" fontId="0" fillId="6" borderId="18" xfId="0" applyFill="1" applyBorder="1"/>
    <xf numFmtId="0" fontId="0" fillId="6" borderId="7" xfId="0" applyFill="1" applyBorder="1"/>
    <xf numFmtId="0" fontId="0" fillId="6" borderId="6" xfId="0" applyFill="1" applyBorder="1"/>
    <xf numFmtId="165" fontId="0" fillId="6" borderId="6" xfId="0" applyNumberFormat="1" applyFill="1" applyBorder="1"/>
    <xf numFmtId="9" fontId="0" fillId="6" borderId="6" xfId="2" applyFont="1" applyFill="1" applyBorder="1"/>
    <xf numFmtId="0" fontId="7" fillId="0" borderId="0" xfId="0" applyFont="1"/>
    <xf numFmtId="0" fontId="15" fillId="0" borderId="0" xfId="0" applyFont="1"/>
    <xf numFmtId="0" fontId="3" fillId="6" borderId="17" xfId="0" applyFont="1" applyFill="1" applyBorder="1"/>
    <xf numFmtId="0" fontId="15" fillId="5" borderId="12" xfId="0" applyFont="1" applyFill="1" applyBorder="1" applyProtection="1"/>
    <xf numFmtId="0" fontId="15" fillId="5" borderId="13" xfId="0" applyFont="1" applyFill="1" applyBorder="1" applyProtection="1"/>
    <xf numFmtId="0" fontId="15" fillId="5" borderId="14" xfId="0" applyFont="1" applyFill="1" applyBorder="1" applyProtection="1"/>
    <xf numFmtId="0" fontId="3" fillId="6" borderId="18" xfId="0" applyFont="1" applyFill="1" applyBorder="1"/>
    <xf numFmtId="0" fontId="3" fillId="0" borderId="0" xfId="0" applyFont="1"/>
    <xf numFmtId="0" fontId="0" fillId="6" borderId="17" xfId="0" applyFont="1" applyFill="1" applyBorder="1"/>
    <xf numFmtId="0" fontId="0" fillId="6" borderId="18" xfId="0" applyFont="1" applyFill="1" applyBorder="1"/>
    <xf numFmtId="0" fontId="0" fillId="0" borderId="0" xfId="0" applyFont="1"/>
    <xf numFmtId="0" fontId="3" fillId="5" borderId="12" xfId="0" applyFont="1" applyFill="1" applyBorder="1"/>
    <xf numFmtId="0" fontId="3" fillId="5" borderId="13" xfId="0" applyFont="1" applyFill="1" applyBorder="1"/>
    <xf numFmtId="0" fontId="3" fillId="5" borderId="45" xfId="0" applyFont="1" applyFill="1" applyBorder="1"/>
    <xf numFmtId="165" fontId="3" fillId="5" borderId="12" xfId="0" applyNumberFormat="1" applyFont="1" applyFill="1" applyBorder="1"/>
    <xf numFmtId="9" fontId="3" fillId="5" borderId="13" xfId="2" applyFont="1" applyFill="1" applyBorder="1"/>
    <xf numFmtId="0" fontId="3" fillId="5" borderId="14" xfId="0" applyFont="1" applyFill="1" applyBorder="1"/>
    <xf numFmtId="0" fontId="14" fillId="5" borderId="29" xfId="0" applyFont="1" applyFill="1" applyBorder="1" applyAlignment="1" applyProtection="1">
      <alignment horizontal="center" wrapText="1"/>
    </xf>
    <xf numFmtId="0" fontId="7" fillId="6" borderId="6" xfId="0" applyFont="1" applyFill="1" applyBorder="1" applyAlignment="1" applyProtection="1">
      <alignment horizontal="center"/>
    </xf>
    <xf numFmtId="0" fontId="7" fillId="0" borderId="0" xfId="0" applyFont="1" applyAlignment="1" applyProtection="1">
      <alignment horizontal="center"/>
    </xf>
    <xf numFmtId="0" fontId="15" fillId="9" borderId="28" xfId="0" applyFont="1" applyFill="1" applyBorder="1"/>
    <xf numFmtId="49" fontId="15" fillId="5" borderId="47" xfId="0" applyNumberFormat="1" applyFont="1" applyFill="1" applyBorder="1" applyAlignment="1" applyProtection="1">
      <alignment horizontal="center" vertical="top" wrapText="1" readingOrder="1"/>
    </xf>
    <xf numFmtId="49" fontId="15" fillId="5" borderId="33" xfId="0" applyNumberFormat="1" applyFont="1" applyFill="1" applyBorder="1" applyAlignment="1" applyProtection="1">
      <alignment horizontal="center" vertical="top" wrapText="1" readingOrder="1"/>
    </xf>
    <xf numFmtId="49" fontId="15" fillId="5" borderId="27" xfId="0" applyNumberFormat="1" applyFont="1" applyFill="1" applyBorder="1" applyAlignment="1" applyProtection="1">
      <alignment horizontal="center" vertical="top" wrapText="1" readingOrder="1"/>
    </xf>
    <xf numFmtId="0" fontId="14" fillId="5" borderId="4" xfId="0" applyFont="1" applyFill="1" applyBorder="1" applyAlignment="1" applyProtection="1">
      <alignment horizontal="center" wrapText="1"/>
    </xf>
    <xf numFmtId="0" fontId="15" fillId="5" borderId="16" xfId="0" applyFont="1" applyFill="1" applyBorder="1"/>
    <xf numFmtId="0" fontId="15" fillId="5" borderId="23" xfId="0" applyFont="1" applyFill="1" applyBorder="1"/>
    <xf numFmtId="0" fontId="15" fillId="5" borderId="10" xfId="0" applyFont="1" applyFill="1" applyBorder="1"/>
    <xf numFmtId="0" fontId="15" fillId="5" borderId="46" xfId="0" applyFont="1" applyFill="1" applyBorder="1"/>
    <xf numFmtId="0" fontId="7" fillId="5" borderId="19" xfId="0" applyFont="1" applyFill="1" applyBorder="1"/>
    <xf numFmtId="0" fontId="7" fillId="5" borderId="41" xfId="0" applyFont="1" applyFill="1" applyBorder="1"/>
    <xf numFmtId="0" fontId="7" fillId="5" borderId="39" xfId="0" applyFont="1" applyFill="1" applyBorder="1"/>
    <xf numFmtId="0" fontId="7" fillId="5" borderId="49" xfId="0" applyFont="1" applyFill="1" applyBorder="1"/>
    <xf numFmtId="0" fontId="7" fillId="5" borderId="20" xfId="0" applyFont="1" applyFill="1" applyBorder="1"/>
    <xf numFmtId="0" fontId="7" fillId="5" borderId="51" xfId="0" applyFont="1" applyFill="1" applyBorder="1"/>
    <xf numFmtId="0" fontId="7" fillId="5" borderId="25" xfId="0" applyFont="1" applyFill="1" applyBorder="1"/>
    <xf numFmtId="0" fontId="7" fillId="5" borderId="50" xfId="0" applyFont="1" applyFill="1" applyBorder="1"/>
    <xf numFmtId="0" fontId="15" fillId="5" borderId="20" xfId="0" applyFont="1" applyFill="1" applyBorder="1"/>
    <xf numFmtId="0" fontId="15" fillId="5" borderId="51" xfId="0" applyFont="1" applyFill="1" applyBorder="1"/>
    <xf numFmtId="0" fontId="15" fillId="5" borderId="25" xfId="0" applyFont="1" applyFill="1" applyBorder="1"/>
    <xf numFmtId="0" fontId="15" fillId="5" borderId="50" xfId="0" applyFont="1" applyFill="1" applyBorder="1"/>
    <xf numFmtId="0" fontId="0" fillId="0" borderId="21" xfId="0" applyFont="1" applyBorder="1"/>
    <xf numFmtId="0" fontId="0" fillId="0" borderId="19" xfId="0" applyFont="1" applyBorder="1"/>
    <xf numFmtId="0" fontId="6" fillId="5" borderId="52" xfId="0" applyFont="1" applyFill="1" applyBorder="1" applyAlignment="1" applyProtection="1">
      <alignment horizontal="center" vertical="top" wrapText="1"/>
    </xf>
    <xf numFmtId="0" fontId="6" fillId="5" borderId="44" xfId="0" applyFont="1" applyFill="1" applyBorder="1" applyAlignment="1" applyProtection="1">
      <alignment wrapText="1"/>
    </xf>
    <xf numFmtId="0" fontId="6" fillId="5" borderId="37" xfId="0" applyFont="1" applyFill="1" applyBorder="1" applyAlignment="1" applyProtection="1">
      <alignment wrapText="1"/>
    </xf>
    <xf numFmtId="0" fontId="6" fillId="5" borderId="52" xfId="0" applyFont="1" applyFill="1" applyBorder="1" applyAlignment="1" applyProtection="1">
      <alignment wrapText="1"/>
    </xf>
    <xf numFmtId="0" fontId="6" fillId="4" borderId="9" xfId="0" applyFont="1" applyFill="1" applyBorder="1" applyAlignment="1" applyProtection="1">
      <alignment vertical="center"/>
    </xf>
    <xf numFmtId="0" fontId="6" fillId="4" borderId="11" xfId="0" applyFont="1" applyFill="1" applyBorder="1" applyAlignment="1" applyProtection="1">
      <alignment vertical="center"/>
    </xf>
    <xf numFmtId="0" fontId="13" fillId="5" borderId="12" xfId="0" applyFont="1" applyFill="1" applyBorder="1" applyAlignment="1" applyProtection="1">
      <alignment horizontal="left" vertical="center"/>
    </xf>
    <xf numFmtId="0" fontId="0" fillId="10" borderId="0" xfId="0" applyFill="1" applyBorder="1" applyAlignment="1"/>
    <xf numFmtId="0" fontId="0" fillId="10" borderId="0" xfId="0" applyFill="1" applyBorder="1"/>
    <xf numFmtId="0" fontId="23" fillId="6" borderId="4" xfId="0" applyFont="1" applyFill="1" applyBorder="1" applyProtection="1"/>
    <xf numFmtId="0" fontId="23" fillId="6" borderId="17" xfId="0" applyFont="1" applyFill="1" applyBorder="1" applyProtection="1"/>
    <xf numFmtId="0" fontId="23" fillId="6" borderId="18" xfId="0" applyFont="1" applyFill="1" applyBorder="1" applyProtection="1"/>
    <xf numFmtId="0" fontId="0" fillId="0" borderId="0" xfId="0" applyFill="1" applyProtection="1"/>
    <xf numFmtId="0" fontId="30" fillId="10" borderId="0" xfId="0" applyFont="1" applyFill="1" applyBorder="1" applyProtection="1"/>
    <xf numFmtId="0" fontId="0" fillId="6" borderId="3" xfId="0" applyFill="1" applyBorder="1" applyProtection="1"/>
    <xf numFmtId="0" fontId="0" fillId="6" borderId="17" xfId="0" applyFill="1" applyBorder="1" applyProtection="1"/>
    <xf numFmtId="0" fontId="0" fillId="6" borderId="0" xfId="0" applyFill="1" applyBorder="1" applyProtection="1"/>
    <xf numFmtId="0" fontId="0" fillId="6" borderId="18" xfId="0" applyFill="1" applyBorder="1" applyProtection="1"/>
    <xf numFmtId="0" fontId="0" fillId="6" borderId="6" xfId="0" applyFill="1" applyBorder="1" applyProtection="1"/>
    <xf numFmtId="0" fontId="0" fillId="6" borderId="7" xfId="0" applyFill="1" applyBorder="1" applyProtection="1"/>
    <xf numFmtId="0" fontId="31" fillId="6" borderId="3" xfId="0" applyFont="1" applyFill="1" applyBorder="1" applyAlignment="1">
      <alignment horizontal="right" vertical="top"/>
    </xf>
    <xf numFmtId="0" fontId="31" fillId="6" borderId="3" xfId="0" applyFont="1" applyFill="1" applyBorder="1" applyAlignment="1">
      <alignment horizontal="right" vertical="top"/>
    </xf>
    <xf numFmtId="0" fontId="32" fillId="6" borderId="3" xfId="0" applyFont="1" applyFill="1" applyBorder="1" applyAlignment="1">
      <alignment horizontal="right" vertical="top"/>
    </xf>
    <xf numFmtId="0" fontId="30" fillId="6" borderId="17" xfId="0" applyFont="1" applyFill="1" applyBorder="1"/>
    <xf numFmtId="0" fontId="30" fillId="6" borderId="0" xfId="0" applyFont="1" applyFill="1" applyBorder="1"/>
    <xf numFmtId="0" fontId="30" fillId="6" borderId="18" xfId="0" applyFont="1" applyFill="1" applyBorder="1"/>
    <xf numFmtId="0" fontId="30" fillId="6" borderId="5" xfId="0" applyFont="1" applyFill="1" applyBorder="1"/>
    <xf numFmtId="0" fontId="30" fillId="6" borderId="6" xfId="0" applyFont="1" applyFill="1" applyBorder="1"/>
    <xf numFmtId="0" fontId="30" fillId="6" borderId="7" xfId="0" applyFont="1" applyFill="1" applyBorder="1"/>
    <xf numFmtId="22" fontId="0" fillId="6" borderId="6" xfId="0" applyNumberFormat="1" applyFill="1" applyBorder="1" applyProtection="1"/>
    <xf numFmtId="0" fontId="0" fillId="6" borderId="6" xfId="0" applyFill="1" applyBorder="1" applyAlignment="1" applyProtection="1">
      <alignment horizontal="right"/>
    </xf>
    <xf numFmtId="0" fontId="31" fillId="6" borderId="3" xfId="0" applyFont="1" applyFill="1" applyBorder="1" applyAlignment="1">
      <alignment vertical="top"/>
    </xf>
    <xf numFmtId="0" fontId="0" fillId="6" borderId="3" xfId="0" applyFont="1" applyFill="1" applyBorder="1" applyAlignment="1">
      <alignment vertical="top"/>
    </xf>
    <xf numFmtId="165" fontId="0" fillId="6" borderId="3" xfId="0" applyNumberFormat="1" applyFont="1" applyFill="1" applyBorder="1" applyAlignment="1">
      <alignment horizontal="left" vertical="top"/>
    </xf>
    <xf numFmtId="0" fontId="15" fillId="6" borderId="3" xfId="0" applyFont="1" applyFill="1" applyBorder="1"/>
    <xf numFmtId="0" fontId="7" fillId="6" borderId="3" xfId="0" applyFont="1" applyFill="1" applyBorder="1"/>
    <xf numFmtId="0" fontId="7" fillId="6" borderId="4" xfId="0" applyFont="1" applyFill="1" applyBorder="1"/>
    <xf numFmtId="0" fontId="7" fillId="6" borderId="17" xfId="0" applyFont="1" applyFill="1" applyBorder="1"/>
    <xf numFmtId="0" fontId="15" fillId="6" borderId="0" xfId="0" applyFont="1" applyFill="1" applyBorder="1"/>
    <xf numFmtId="0" fontId="7" fillId="6" borderId="0" xfId="0" applyFont="1" applyFill="1" applyBorder="1"/>
    <xf numFmtId="0" fontId="7" fillId="6" borderId="18" xfId="0" applyFont="1" applyFill="1" applyBorder="1"/>
    <xf numFmtId="0" fontId="15" fillId="6" borderId="17" xfId="0" applyFont="1" applyFill="1" applyBorder="1"/>
    <xf numFmtId="0" fontId="15" fillId="6" borderId="18" xfId="0" applyFont="1" applyFill="1" applyBorder="1"/>
    <xf numFmtId="0" fontId="7" fillId="6" borderId="5" xfId="0" applyFont="1" applyFill="1" applyBorder="1"/>
    <xf numFmtId="0" fontId="15" fillId="6" borderId="6" xfId="0" applyFont="1" applyFill="1" applyBorder="1"/>
    <xf numFmtId="0" fontId="7" fillId="6" borderId="6" xfId="0" applyFont="1" applyFill="1" applyBorder="1"/>
    <xf numFmtId="0" fontId="7" fillId="6" borderId="7" xfId="0" applyFont="1" applyFill="1" applyBorder="1"/>
    <xf numFmtId="0" fontId="17" fillId="6" borderId="34" xfId="0" applyFont="1" applyFill="1" applyBorder="1"/>
    <xf numFmtId="0" fontId="7" fillId="10" borderId="0" xfId="0" applyFont="1" applyFill="1" applyProtection="1"/>
    <xf numFmtId="0" fontId="7" fillId="10" borderId="0" xfId="0" applyFont="1" applyFill="1" applyAlignment="1" applyProtection="1">
      <alignment horizontal="left" vertical="center"/>
    </xf>
    <xf numFmtId="0" fontId="7" fillId="10" borderId="0" xfId="0" applyFont="1" applyFill="1" applyAlignment="1" applyProtection="1">
      <alignment wrapText="1"/>
    </xf>
    <xf numFmtId="0" fontId="6" fillId="10" borderId="0" xfId="0" applyFont="1" applyFill="1" applyProtection="1"/>
    <xf numFmtId="0" fontId="6" fillId="2" borderId="14" xfId="0" applyFont="1" applyFill="1" applyBorder="1" applyAlignment="1" applyProtection="1">
      <alignment horizontal="center" vertical="center"/>
      <protection locked="0"/>
    </xf>
    <xf numFmtId="0" fontId="8" fillId="10" borderId="0" xfId="0" applyFont="1" applyFill="1" applyProtection="1"/>
    <xf numFmtId="0" fontId="7" fillId="10" borderId="0" xfId="0" applyFont="1" applyFill="1" applyAlignment="1" applyProtection="1">
      <alignment horizontal="center"/>
    </xf>
    <xf numFmtId="49" fontId="6" fillId="2" borderId="32" xfId="0" applyNumberFormat="1" applyFont="1" applyFill="1" applyBorder="1" applyAlignment="1" applyProtection="1">
      <alignment horizontal="center"/>
      <protection locked="0"/>
    </xf>
    <xf numFmtId="0" fontId="6" fillId="2" borderId="32" xfId="0" applyFont="1" applyFill="1" applyBorder="1" applyAlignment="1" applyProtection="1">
      <alignment horizontal="center"/>
      <protection locked="0"/>
    </xf>
    <xf numFmtId="0" fontId="6" fillId="2" borderId="15" xfId="0" applyFont="1" applyFill="1" applyBorder="1" applyAlignment="1" applyProtection="1">
      <alignment horizontal="center"/>
      <protection locked="0"/>
    </xf>
    <xf numFmtId="0" fontId="6" fillId="2" borderId="33" xfId="0" applyFont="1" applyFill="1" applyBorder="1" applyAlignment="1" applyProtection="1">
      <alignment horizontal="center"/>
      <protection locked="0"/>
    </xf>
    <xf numFmtId="0" fontId="6" fillId="2" borderId="20" xfId="0" applyFont="1" applyFill="1" applyBorder="1" applyAlignment="1" applyProtection="1">
      <alignment horizontal="center"/>
      <protection locked="0"/>
    </xf>
    <xf numFmtId="0" fontId="6" fillId="2" borderId="34" xfId="0" applyFont="1" applyFill="1" applyBorder="1" applyAlignment="1" applyProtection="1">
      <alignment horizontal="center"/>
      <protection locked="0"/>
    </xf>
    <xf numFmtId="0" fontId="6" fillId="2" borderId="16" xfId="0" applyFont="1" applyFill="1" applyBorder="1" applyAlignment="1" applyProtection="1">
      <alignment horizontal="center"/>
      <protection locked="0"/>
    </xf>
    <xf numFmtId="0" fontId="7" fillId="10" borderId="0" xfId="0" applyFont="1" applyFill="1"/>
    <xf numFmtId="0" fontId="15" fillId="10" borderId="0" xfId="0" applyFont="1" applyFill="1"/>
    <xf numFmtId="49" fontId="15" fillId="5" borderId="34" xfId="0" applyNumberFormat="1" applyFont="1" applyFill="1" applyBorder="1" applyAlignment="1" applyProtection="1">
      <alignment horizontal="center" vertical="top" wrapText="1" readingOrder="1"/>
    </xf>
    <xf numFmtId="0" fontId="15" fillId="5" borderId="1" xfId="0" applyFont="1" applyFill="1" applyBorder="1" applyAlignment="1">
      <alignment textRotation="135"/>
    </xf>
    <xf numFmtId="0" fontId="15" fillId="5" borderId="36" xfId="0" applyFont="1" applyFill="1" applyBorder="1" applyAlignment="1">
      <alignment textRotation="135"/>
    </xf>
    <xf numFmtId="0" fontId="15" fillId="5" borderId="13" xfId="0" applyFont="1" applyFill="1" applyBorder="1" applyAlignment="1">
      <alignment textRotation="135"/>
    </xf>
    <xf numFmtId="0" fontId="15" fillId="5" borderId="45" xfId="0" applyFont="1" applyFill="1" applyBorder="1" applyAlignment="1">
      <alignment textRotation="135"/>
    </xf>
    <xf numFmtId="0" fontId="15" fillId="6" borderId="1" xfId="0" applyFont="1" applyFill="1" applyBorder="1"/>
    <xf numFmtId="0" fontId="0" fillId="0" borderId="8" xfId="0" applyBorder="1" applyProtection="1">
      <protection locked="0"/>
    </xf>
    <xf numFmtId="165" fontId="0" fillId="0" borderId="8" xfId="0" applyNumberFormat="1" applyBorder="1" applyProtection="1">
      <protection locked="0"/>
    </xf>
    <xf numFmtId="9" fontId="0" fillId="0" borderId="8" xfId="2" applyFont="1" applyBorder="1" applyProtection="1">
      <protection locked="0"/>
    </xf>
    <xf numFmtId="0" fontId="0" fillId="0" borderId="9" xfId="0" applyBorder="1" applyProtection="1">
      <protection locked="0"/>
    </xf>
    <xf numFmtId="0" fontId="0" fillId="0" borderId="35" xfId="0" applyBorder="1" applyProtection="1">
      <protection locked="0"/>
    </xf>
    <xf numFmtId="0" fontId="0" fillId="0" borderId="25" xfId="0" applyBorder="1" applyProtection="1">
      <protection locked="0"/>
    </xf>
    <xf numFmtId="165" fontId="0" fillId="0" borderId="25" xfId="0" applyNumberFormat="1" applyBorder="1" applyProtection="1">
      <protection locked="0"/>
    </xf>
    <xf numFmtId="9" fontId="0" fillId="0" borderId="25" xfId="2" applyFont="1" applyBorder="1" applyProtection="1">
      <protection locked="0"/>
    </xf>
    <xf numFmtId="0" fontId="0" fillId="0" borderId="26" xfId="0" applyBorder="1" applyProtection="1">
      <protection locked="0"/>
    </xf>
    <xf numFmtId="0" fontId="0" fillId="0" borderId="31" xfId="0" applyBorder="1" applyProtection="1">
      <protection locked="0"/>
    </xf>
    <xf numFmtId="0" fontId="0" fillId="0" borderId="10" xfId="0" applyBorder="1" applyProtection="1">
      <protection locked="0"/>
    </xf>
    <xf numFmtId="165" fontId="0" fillId="0" borderId="10" xfId="0" applyNumberFormat="1" applyBorder="1" applyProtection="1">
      <protection locked="0"/>
    </xf>
    <xf numFmtId="9" fontId="0" fillId="0" borderId="10" xfId="2" applyFont="1" applyBorder="1" applyProtection="1">
      <protection locked="0"/>
    </xf>
    <xf numFmtId="0" fontId="0" fillId="0" borderId="11" xfId="0" applyBorder="1" applyProtection="1">
      <protection locked="0"/>
    </xf>
    <xf numFmtId="0" fontId="33" fillId="6" borderId="2" xfId="0" applyFont="1" applyFill="1" applyBorder="1" applyAlignment="1">
      <alignment horizontal="right" vertical="top"/>
    </xf>
    <xf numFmtId="0" fontId="33" fillId="6" borderId="3" xfId="0" applyFont="1" applyFill="1" applyBorder="1" applyAlignment="1">
      <alignment vertical="top"/>
    </xf>
    <xf numFmtId="0" fontId="0" fillId="0" borderId="35" xfId="0" applyBorder="1"/>
    <xf numFmtId="0" fontId="5" fillId="0" borderId="26" xfId="1" applyBorder="1"/>
    <xf numFmtId="0" fontId="0" fillId="0" borderId="31" xfId="0" applyBorder="1"/>
    <xf numFmtId="0" fontId="5" fillId="0" borderId="11" xfId="1" applyBorder="1"/>
    <xf numFmtId="0" fontId="0" fillId="0" borderId="56" xfId="0" applyBorder="1"/>
    <xf numFmtId="0" fontId="5" fillId="0" borderId="40" xfId="1" applyBorder="1"/>
    <xf numFmtId="0" fontId="3" fillId="0" borderId="12" xfId="0" applyFont="1" applyBorder="1"/>
    <xf numFmtId="0" fontId="0" fillId="0" borderId="14" xfId="0" applyBorder="1"/>
    <xf numFmtId="0" fontId="19" fillId="0" borderId="2" xfId="0" applyFont="1" applyFill="1" applyBorder="1" applyAlignment="1">
      <alignment horizontal="left"/>
    </xf>
    <xf numFmtId="0" fontId="4" fillId="0" borderId="30" xfId="0" applyFont="1" applyFill="1" applyBorder="1" applyAlignment="1"/>
    <xf numFmtId="0" fontId="18" fillId="0" borderId="17" xfId="0" applyFont="1" applyFill="1" applyBorder="1" applyAlignment="1">
      <alignment horizontal="left"/>
    </xf>
    <xf numFmtId="0" fontId="4" fillId="0" borderId="35" xfId="0" applyFont="1" applyFill="1" applyBorder="1" applyAlignment="1"/>
    <xf numFmtId="0" fontId="18" fillId="0" borderId="5" xfId="0" applyFont="1" applyFill="1" applyBorder="1" applyAlignment="1">
      <alignment horizontal="left"/>
    </xf>
    <xf numFmtId="0" fontId="4" fillId="0" borderId="31" xfId="0" applyFont="1" applyFill="1" applyBorder="1" applyAlignment="1"/>
    <xf numFmtId="0" fontId="19" fillId="0" borderId="27" xfId="0" applyFont="1" applyFill="1" applyBorder="1"/>
    <xf numFmtId="0" fontId="4" fillId="0" borderId="35" xfId="0" applyFont="1" applyFill="1" applyBorder="1"/>
    <xf numFmtId="0" fontId="4" fillId="0" borderId="25" xfId="0" applyFont="1" applyFill="1" applyBorder="1"/>
    <xf numFmtId="0" fontId="4" fillId="0" borderId="26" xfId="0" applyFont="1" applyFill="1" applyBorder="1"/>
    <xf numFmtId="0" fontId="4" fillId="0" borderId="31" xfId="0" applyFont="1" applyFill="1" applyBorder="1"/>
    <xf numFmtId="0" fontId="4" fillId="0" borderId="10" xfId="0" applyFont="1" applyFill="1" applyBorder="1"/>
    <xf numFmtId="0" fontId="4" fillId="0" borderId="11" xfId="0" applyFont="1" applyFill="1" applyBorder="1"/>
    <xf numFmtId="0" fontId="2" fillId="6" borderId="3" xfId="0" applyFont="1" applyFill="1" applyBorder="1" applyAlignment="1">
      <alignment horizontal="right" vertical="top"/>
    </xf>
    <xf numFmtId="0" fontId="0" fillId="6" borderId="3" xfId="0" applyFont="1" applyFill="1" applyBorder="1" applyAlignment="1">
      <alignment horizontal="right" vertical="top"/>
    </xf>
    <xf numFmtId="0" fontId="7" fillId="5" borderId="30" xfId="0" applyFont="1" applyFill="1" applyBorder="1" applyAlignment="1" applyProtection="1">
      <alignment horizontal="right" vertical="center"/>
    </xf>
    <xf numFmtId="0" fontId="7" fillId="5" borderId="31" xfId="0" applyFont="1" applyFill="1" applyBorder="1" applyAlignment="1" applyProtection="1">
      <alignment horizontal="right" vertical="center"/>
    </xf>
    <xf numFmtId="0" fontId="35" fillId="6" borderId="3" xfId="0" applyFont="1" applyFill="1" applyBorder="1"/>
    <xf numFmtId="0" fontId="7" fillId="10" borderId="0" xfId="0" applyFont="1" applyFill="1" applyAlignment="1"/>
    <xf numFmtId="0" fontId="36" fillId="10" borderId="0" xfId="0" applyFont="1" applyFill="1"/>
    <xf numFmtId="0" fontId="38" fillId="6" borderId="2" xfId="0" applyFont="1" applyFill="1" applyBorder="1"/>
    <xf numFmtId="0" fontId="39" fillId="10" borderId="2" xfId="0" applyFont="1" applyFill="1" applyBorder="1"/>
    <xf numFmtId="0" fontId="4" fillId="15" borderId="2" xfId="0" applyFont="1" applyFill="1" applyBorder="1"/>
    <xf numFmtId="0" fontId="4" fillId="15" borderId="3" xfId="0" applyFont="1" applyFill="1" applyBorder="1"/>
    <xf numFmtId="0" fontId="4" fillId="15" borderId="4" xfId="0" applyFont="1" applyFill="1" applyBorder="1"/>
    <xf numFmtId="0" fontId="4" fillId="15" borderId="17" xfId="0" applyFont="1" applyFill="1" applyBorder="1"/>
    <xf numFmtId="0" fontId="4" fillId="15" borderId="18" xfId="0" applyFont="1" applyFill="1" applyBorder="1"/>
    <xf numFmtId="0" fontId="4" fillId="15" borderId="17" xfId="0" applyFont="1" applyFill="1" applyBorder="1" applyAlignment="1">
      <alignment wrapText="1"/>
    </xf>
    <xf numFmtId="0" fontId="4" fillId="15" borderId="18" xfId="0" applyFont="1" applyFill="1" applyBorder="1" applyAlignment="1">
      <alignment wrapText="1"/>
    </xf>
    <xf numFmtId="0" fontId="4" fillId="15" borderId="5" xfId="0" applyFont="1" applyFill="1" applyBorder="1"/>
    <xf numFmtId="0" fontId="4" fillId="15" borderId="6" xfId="0" applyFont="1" applyFill="1" applyBorder="1"/>
    <xf numFmtId="0" fontId="4" fillId="15" borderId="7" xfId="0" applyFont="1" applyFill="1" applyBorder="1"/>
    <xf numFmtId="0" fontId="25" fillId="6" borderId="3" xfId="0" applyFont="1" applyFill="1" applyBorder="1" applyAlignment="1" applyProtection="1"/>
    <xf numFmtId="0" fontId="7" fillId="5" borderId="47" xfId="0" applyFont="1" applyFill="1" applyBorder="1"/>
    <xf numFmtId="0" fontId="7" fillId="5" borderId="33" xfId="0" applyFont="1" applyFill="1" applyBorder="1"/>
    <xf numFmtId="0" fontId="15" fillId="5" borderId="33" xfId="0" applyFont="1" applyFill="1" applyBorder="1"/>
    <xf numFmtId="0" fontId="15" fillId="5" borderId="34" xfId="0" applyFont="1" applyFill="1" applyBorder="1"/>
    <xf numFmtId="0" fontId="15" fillId="5" borderId="61" xfId="0" applyFont="1" applyFill="1" applyBorder="1" applyAlignment="1">
      <alignment textRotation="135"/>
    </xf>
    <xf numFmtId="0" fontId="15" fillId="5" borderId="37" xfId="0" applyFont="1" applyFill="1" applyBorder="1" applyAlignment="1">
      <alignment textRotation="135"/>
    </xf>
    <xf numFmtId="0" fontId="15" fillId="5" borderId="54" xfId="0" applyFont="1" applyFill="1" applyBorder="1" applyAlignment="1">
      <alignment textRotation="135"/>
    </xf>
    <xf numFmtId="0" fontId="15" fillId="9" borderId="6" xfId="0" applyFont="1" applyFill="1" applyBorder="1"/>
    <xf numFmtId="0" fontId="7" fillId="5" borderId="30" xfId="0" applyFont="1" applyFill="1" applyBorder="1"/>
    <xf numFmtId="0" fontId="7" fillId="5" borderId="8" xfId="0" applyFont="1" applyFill="1" applyBorder="1"/>
    <xf numFmtId="0" fontId="7" fillId="5" borderId="9" xfId="0" applyFont="1" applyFill="1" applyBorder="1"/>
    <xf numFmtId="0" fontId="7" fillId="5" borderId="35" xfId="0" applyFont="1" applyFill="1" applyBorder="1"/>
    <xf numFmtId="0" fontId="7" fillId="5" borderId="26" xfId="0" applyFont="1" applyFill="1" applyBorder="1"/>
    <xf numFmtId="0" fontId="15" fillId="5" borderId="35" xfId="0" applyFont="1" applyFill="1" applyBorder="1"/>
    <xf numFmtId="0" fontId="15" fillId="5" borderId="26" xfId="0" applyFont="1" applyFill="1" applyBorder="1"/>
    <xf numFmtId="0" fontId="15" fillId="5" borderId="31" xfId="0" applyFont="1" applyFill="1" applyBorder="1"/>
    <xf numFmtId="0" fontId="15" fillId="5" borderId="11" xfId="0" applyFont="1" applyFill="1" applyBorder="1"/>
    <xf numFmtId="0" fontId="7" fillId="5" borderId="15" xfId="0" applyFont="1" applyFill="1" applyBorder="1"/>
    <xf numFmtId="0" fontId="40" fillId="0" borderId="1" xfId="0" applyFont="1" applyBorder="1"/>
    <xf numFmtId="0" fontId="41" fillId="0" borderId="1" xfId="0" applyFont="1" applyBorder="1"/>
    <xf numFmtId="0" fontId="42" fillId="0" borderId="1" xfId="0" applyFont="1" applyBorder="1"/>
    <xf numFmtId="165" fontId="0" fillId="6" borderId="3" xfId="0" applyNumberFormat="1" applyFont="1" applyFill="1" applyBorder="1" applyAlignment="1">
      <alignment horizontal="left" vertical="center"/>
    </xf>
    <xf numFmtId="22" fontId="0" fillId="6" borderId="4" xfId="0" applyNumberFormat="1" applyFont="1" applyFill="1" applyBorder="1" applyAlignment="1">
      <alignment horizontal="left" vertical="center"/>
    </xf>
    <xf numFmtId="0" fontId="38" fillId="6" borderId="2" xfId="0" applyFont="1" applyFill="1" applyBorder="1" applyAlignment="1">
      <alignment horizontal="left" vertical="center"/>
    </xf>
    <xf numFmtId="0" fontId="0" fillId="6" borderId="3" xfId="0" applyFont="1" applyFill="1" applyBorder="1" applyAlignment="1">
      <alignment horizontal="left" vertical="center"/>
    </xf>
    <xf numFmtId="0" fontId="7" fillId="6" borderId="17" xfId="0" applyFont="1" applyFill="1" applyBorder="1" applyAlignment="1" applyProtection="1">
      <alignment horizontal="left" vertical="center"/>
    </xf>
    <xf numFmtId="0" fontId="27" fillId="5" borderId="12" xfId="0" applyFont="1" applyFill="1" applyBorder="1" applyAlignment="1" applyProtection="1">
      <alignment horizontal="left" vertical="center" wrapText="1"/>
    </xf>
    <xf numFmtId="0" fontId="16" fillId="5" borderId="12" xfId="0" applyFont="1" applyFill="1" applyBorder="1" applyAlignment="1" applyProtection="1">
      <alignment horizontal="left" vertical="center" wrapText="1"/>
    </xf>
    <xf numFmtId="0" fontId="6" fillId="2" borderId="14" xfId="0" applyFont="1" applyFill="1" applyBorder="1" applyAlignment="1" applyProtection="1">
      <alignment horizontal="left" vertical="center"/>
      <protection locked="0"/>
    </xf>
    <xf numFmtId="0" fontId="7" fillId="6" borderId="18" xfId="0" applyFont="1" applyFill="1" applyBorder="1" applyAlignment="1" applyProtection="1">
      <alignment horizontal="left" vertical="center"/>
    </xf>
    <xf numFmtId="0" fontId="7" fillId="6" borderId="17" xfId="0" applyFont="1" applyFill="1" applyBorder="1" applyAlignment="1" applyProtection="1">
      <alignment horizontal="left" vertical="center" wrapText="1"/>
    </xf>
    <xf numFmtId="0" fontId="13" fillId="5" borderId="44" xfId="0" applyFont="1" applyFill="1" applyBorder="1" applyAlignment="1" applyProtection="1">
      <alignment horizontal="left" vertical="center" wrapText="1"/>
    </xf>
    <xf numFmtId="0" fontId="13" fillId="5" borderId="37" xfId="0" applyFont="1" applyFill="1" applyBorder="1" applyAlignment="1" applyProtection="1">
      <alignment horizontal="left" vertical="center" wrapText="1"/>
    </xf>
    <xf numFmtId="0" fontId="13" fillId="5" borderId="52" xfId="0" applyFont="1" applyFill="1" applyBorder="1" applyAlignment="1" applyProtection="1">
      <alignment horizontal="left" vertical="center" wrapText="1"/>
    </xf>
    <xf numFmtId="0" fontId="7" fillId="6" borderId="18" xfId="0" applyFont="1" applyFill="1" applyBorder="1" applyAlignment="1" applyProtection="1">
      <alignment horizontal="left" vertical="center" wrapText="1"/>
    </xf>
    <xf numFmtId="0" fontId="8" fillId="10" borderId="0" xfId="0" applyFont="1" applyFill="1" applyAlignment="1" applyProtection="1">
      <alignment horizontal="left" vertical="center" wrapText="1"/>
    </xf>
    <xf numFmtId="0" fontId="8" fillId="0" borderId="0" xfId="0" applyFont="1" applyAlignment="1" applyProtection="1">
      <alignment horizontal="left" vertical="center" wrapText="1"/>
    </xf>
    <xf numFmtId="165" fontId="6" fillId="8" borderId="8" xfId="0" applyNumberFormat="1" applyFont="1" applyFill="1" applyBorder="1" applyAlignment="1" applyProtection="1">
      <alignment horizontal="left" vertical="center"/>
      <protection locked="0"/>
    </xf>
    <xf numFmtId="0" fontId="6" fillId="2" borderId="8" xfId="0" applyFont="1" applyFill="1" applyBorder="1" applyAlignment="1" applyProtection="1">
      <alignment horizontal="left" vertical="center"/>
      <protection locked="0"/>
    </xf>
    <xf numFmtId="0" fontId="6" fillId="8" borderId="9" xfId="0" applyFont="1" applyFill="1" applyBorder="1" applyAlignment="1" applyProtection="1">
      <alignment horizontal="left" vertical="center"/>
      <protection locked="0"/>
    </xf>
    <xf numFmtId="165" fontId="6" fillId="8" borderId="10" xfId="0" applyNumberFormat="1" applyFont="1" applyFill="1" applyBorder="1" applyAlignment="1" applyProtection="1">
      <alignment horizontal="left" vertical="center"/>
      <protection locked="0"/>
    </xf>
    <xf numFmtId="0" fontId="6" fillId="2" borderId="10" xfId="0" applyFont="1" applyFill="1" applyBorder="1" applyAlignment="1" applyProtection="1">
      <alignment horizontal="left" vertical="center"/>
      <protection locked="0"/>
    </xf>
    <xf numFmtId="0" fontId="6" fillId="8" borderId="11" xfId="0" applyFont="1" applyFill="1" applyBorder="1" applyAlignment="1" applyProtection="1">
      <alignment horizontal="left" vertical="center"/>
      <protection locked="0"/>
    </xf>
    <xf numFmtId="165" fontId="6" fillId="8" borderId="13" xfId="0" applyNumberFormat="1" applyFont="1" applyFill="1" applyBorder="1" applyAlignment="1" applyProtection="1">
      <alignment horizontal="left" vertical="center"/>
      <protection locked="0"/>
    </xf>
    <xf numFmtId="0" fontId="6" fillId="2" borderId="13" xfId="0" applyFont="1" applyFill="1" applyBorder="1" applyAlignment="1" applyProtection="1">
      <alignment horizontal="left" vertical="center"/>
      <protection locked="0"/>
    </xf>
    <xf numFmtId="0" fontId="6" fillId="8" borderId="14" xfId="0" applyFont="1" applyFill="1" applyBorder="1" applyAlignment="1" applyProtection="1">
      <alignment horizontal="left" vertical="center"/>
      <protection locked="0"/>
    </xf>
    <xf numFmtId="0" fontId="7" fillId="10" borderId="0" xfId="0" applyFont="1" applyFill="1" applyAlignment="1" applyProtection="1">
      <alignment horizontal="left" vertical="center" wrapText="1"/>
    </xf>
    <xf numFmtId="0" fontId="7" fillId="0" borderId="0" xfId="0" applyFont="1" applyAlignment="1" applyProtection="1">
      <alignment horizontal="left" vertical="center" wrapText="1"/>
    </xf>
    <xf numFmtId="0" fontId="6" fillId="10" borderId="0" xfId="0" applyFont="1" applyFill="1" applyAlignment="1" applyProtection="1">
      <alignment horizontal="left" vertical="center"/>
    </xf>
    <xf numFmtId="0" fontId="6" fillId="0" borderId="0" xfId="0" applyFont="1" applyAlignment="1" applyProtection="1">
      <alignment horizontal="left" vertical="center"/>
    </xf>
    <xf numFmtId="0" fontId="6" fillId="2" borderId="30" xfId="0" applyFont="1" applyFill="1" applyBorder="1" applyAlignment="1" applyProtection="1">
      <alignment horizontal="left" vertical="center"/>
      <protection locked="0"/>
    </xf>
    <xf numFmtId="0" fontId="6" fillId="2" borderId="35" xfId="0" applyFont="1" applyFill="1" applyBorder="1" applyAlignment="1" applyProtection="1">
      <alignment horizontal="left" vertical="center"/>
      <protection locked="0"/>
    </xf>
    <xf numFmtId="0" fontId="6" fillId="2" borderId="31" xfId="0" applyFont="1" applyFill="1" applyBorder="1" applyAlignment="1" applyProtection="1">
      <alignment horizontal="left" vertical="center"/>
      <protection locked="0"/>
    </xf>
    <xf numFmtId="0" fontId="7" fillId="6" borderId="5" xfId="0" applyFont="1" applyFill="1" applyBorder="1" applyAlignment="1" applyProtection="1">
      <alignment horizontal="left" vertical="center"/>
    </xf>
    <xf numFmtId="0" fontId="7" fillId="6" borderId="7" xfId="0" applyFont="1" applyFill="1" applyBorder="1" applyAlignment="1" applyProtection="1">
      <alignment horizontal="left" vertical="center"/>
    </xf>
    <xf numFmtId="0" fontId="15" fillId="6" borderId="3" xfId="0" applyFont="1" applyFill="1" applyBorder="1" applyAlignment="1" applyProtection="1">
      <alignment horizontal="left" vertical="center"/>
    </xf>
    <xf numFmtId="0" fontId="43" fillId="6" borderId="18" xfId="0" applyFont="1" applyFill="1" applyBorder="1" applyAlignment="1" applyProtection="1">
      <alignment horizontal="left" vertical="center"/>
    </xf>
    <xf numFmtId="0" fontId="13" fillId="5" borderId="8" xfId="0" applyFont="1" applyFill="1" applyBorder="1" applyAlignment="1" applyProtection="1">
      <alignment horizontal="left" vertical="center"/>
    </xf>
    <xf numFmtId="0" fontId="13" fillId="5" borderId="10" xfId="0" applyFont="1" applyFill="1" applyBorder="1" applyAlignment="1" applyProtection="1">
      <alignment horizontal="left" vertical="center"/>
    </xf>
    <xf numFmtId="0" fontId="13" fillId="5" borderId="13" xfId="0" applyFont="1" applyFill="1" applyBorder="1" applyAlignment="1" applyProtection="1">
      <alignment horizontal="left" vertical="center"/>
    </xf>
    <xf numFmtId="0" fontId="15" fillId="6" borderId="6" xfId="0" applyFont="1" applyFill="1" applyBorder="1" applyAlignment="1" applyProtection="1">
      <alignment horizontal="left" vertical="center"/>
    </xf>
    <xf numFmtId="0" fontId="15" fillId="10" borderId="0" xfId="0" applyFont="1" applyFill="1" applyAlignment="1" applyProtection="1">
      <alignment horizontal="left" vertical="center"/>
    </xf>
    <xf numFmtId="0" fontId="15" fillId="0" borderId="0" xfId="0" applyFont="1" applyAlignment="1" applyProtection="1">
      <alignment horizontal="left" vertical="center"/>
    </xf>
    <xf numFmtId="0" fontId="13" fillId="8" borderId="13" xfId="0" applyFont="1" applyFill="1" applyBorder="1" applyAlignment="1" applyProtection="1">
      <alignment horizontal="left" vertical="center"/>
      <protection locked="0"/>
    </xf>
    <xf numFmtId="0" fontId="13" fillId="8" borderId="8" xfId="0" applyFont="1" applyFill="1" applyBorder="1" applyAlignment="1" applyProtection="1">
      <alignment horizontal="left" vertical="center"/>
      <protection locked="0"/>
    </xf>
    <xf numFmtId="0" fontId="13" fillId="8" borderId="10" xfId="0" applyFont="1" applyFill="1" applyBorder="1" applyAlignment="1" applyProtection="1">
      <alignment horizontal="left" vertical="center"/>
      <protection locked="0"/>
    </xf>
    <xf numFmtId="164" fontId="27" fillId="8" borderId="14" xfId="0" applyNumberFormat="1" applyFont="1" applyFill="1" applyBorder="1" applyAlignment="1" applyProtection="1">
      <alignment horizontal="left" vertical="center"/>
      <protection locked="0"/>
    </xf>
    <xf numFmtId="0" fontId="6" fillId="2" borderId="8" xfId="0" applyFont="1" applyFill="1" applyBorder="1" applyAlignment="1" applyProtection="1">
      <alignment horizontal="left" vertical="center"/>
      <protection locked="0"/>
    </xf>
    <xf numFmtId="0" fontId="6" fillId="2" borderId="10" xfId="0" applyFont="1" applyFill="1" applyBorder="1" applyAlignment="1" applyProtection="1">
      <alignment horizontal="left" vertical="center"/>
      <protection locked="0"/>
    </xf>
    <xf numFmtId="0" fontId="4" fillId="10" borderId="0" xfId="0" applyFont="1" applyFill="1" applyBorder="1" applyAlignment="1">
      <alignment horizontal="left" vertical="top" wrapText="1"/>
    </xf>
    <xf numFmtId="0" fontId="21" fillId="10" borderId="25" xfId="0" applyFont="1" applyFill="1" applyBorder="1" applyAlignment="1">
      <alignment horizontal="left" vertical="top" wrapText="1"/>
    </xf>
    <xf numFmtId="0" fontId="19" fillId="10" borderId="25" xfId="0" applyFont="1" applyFill="1" applyBorder="1" applyAlignment="1">
      <alignment horizontal="left" vertical="top" wrapText="1"/>
    </xf>
    <xf numFmtId="0" fontId="6" fillId="2" borderId="15" xfId="0" applyFont="1" applyFill="1" applyBorder="1" applyAlignment="1" applyProtection="1">
      <alignment horizontal="left" vertical="center"/>
      <protection locked="0"/>
    </xf>
    <xf numFmtId="0" fontId="6" fillId="2" borderId="20" xfId="0" applyFont="1" applyFill="1" applyBorder="1" applyAlignment="1" applyProtection="1">
      <alignment horizontal="left" vertical="center"/>
      <protection locked="0"/>
    </xf>
    <xf numFmtId="0" fontId="6" fillId="2" borderId="16" xfId="0" applyFont="1" applyFill="1" applyBorder="1" applyAlignment="1" applyProtection="1">
      <alignment horizontal="left" vertical="center"/>
      <protection locked="0"/>
    </xf>
    <xf numFmtId="167" fontId="1" fillId="6" borderId="3" xfId="0" applyNumberFormat="1" applyFont="1" applyFill="1" applyBorder="1" applyAlignment="1">
      <alignment horizontal="left" vertical="top"/>
    </xf>
    <xf numFmtId="167" fontId="0" fillId="6" borderId="3" xfId="0" applyNumberFormat="1" applyFont="1" applyFill="1" applyBorder="1" applyAlignment="1">
      <alignment horizontal="left" vertical="top"/>
    </xf>
    <xf numFmtId="167" fontId="0" fillId="6" borderId="3" xfId="0" applyNumberFormat="1" applyFont="1" applyFill="1" applyBorder="1" applyAlignment="1">
      <alignment horizontal="right" vertical="top"/>
    </xf>
    <xf numFmtId="167" fontId="7" fillId="6" borderId="0" xfId="0" applyNumberFormat="1" applyFont="1" applyFill="1" applyBorder="1" applyProtection="1"/>
    <xf numFmtId="167" fontId="7" fillId="6" borderId="0" xfId="0" applyNumberFormat="1" applyFont="1" applyFill="1" applyBorder="1" applyAlignment="1" applyProtection="1">
      <alignment horizontal="center"/>
    </xf>
    <xf numFmtId="167" fontId="7" fillId="6" borderId="0" xfId="0" applyNumberFormat="1" applyFont="1" applyFill="1" applyBorder="1" applyAlignment="1" applyProtection="1">
      <alignment horizontal="left"/>
    </xf>
    <xf numFmtId="167" fontId="14" fillId="5" borderId="1" xfId="0" applyNumberFormat="1" applyFont="1" applyFill="1" applyBorder="1" applyAlignment="1" applyProtection="1">
      <alignment horizontal="left" wrapText="1"/>
    </xf>
    <xf numFmtId="167" fontId="14" fillId="5" borderId="29" xfId="0" applyNumberFormat="1" applyFont="1" applyFill="1" applyBorder="1" applyAlignment="1" applyProtection="1">
      <alignment horizontal="center" wrapText="1"/>
    </xf>
    <xf numFmtId="167" fontId="14" fillId="5" borderId="4" xfId="0" applyNumberFormat="1" applyFont="1" applyFill="1" applyBorder="1" applyAlignment="1" applyProtection="1">
      <alignment horizontal="center" wrapText="1"/>
    </xf>
    <xf numFmtId="167" fontId="6" fillId="5" borderId="32" xfId="0" applyNumberFormat="1" applyFont="1" applyFill="1" applyBorder="1" applyAlignment="1" applyProtection="1">
      <alignment horizontal="center" vertical="top" wrapText="1" readingOrder="1"/>
    </xf>
    <xf numFmtId="167" fontId="6" fillId="2" borderId="32" xfId="0" applyNumberFormat="1" applyFont="1" applyFill="1" applyBorder="1" applyAlignment="1" applyProtection="1">
      <alignment horizontal="center"/>
      <protection locked="0"/>
    </xf>
    <xf numFmtId="167" fontId="6" fillId="2" borderId="15" xfId="0" applyNumberFormat="1" applyFont="1" applyFill="1" applyBorder="1" applyAlignment="1" applyProtection="1">
      <alignment horizontal="center"/>
      <protection locked="0"/>
    </xf>
    <xf numFmtId="167" fontId="6" fillId="5" borderId="33" xfId="0" applyNumberFormat="1" applyFont="1" applyFill="1" applyBorder="1" applyAlignment="1" applyProtection="1">
      <alignment horizontal="center" vertical="top" wrapText="1" readingOrder="1"/>
    </xf>
    <xf numFmtId="167" fontId="6" fillId="2" borderId="33" xfId="0" applyNumberFormat="1" applyFont="1" applyFill="1" applyBorder="1" applyAlignment="1" applyProtection="1">
      <alignment horizontal="center"/>
      <protection locked="0"/>
    </xf>
    <xf numFmtId="167" fontId="6" fillId="2" borderId="20" xfId="0" applyNumberFormat="1" applyFont="1" applyFill="1" applyBorder="1" applyAlignment="1" applyProtection="1">
      <alignment horizontal="center"/>
      <protection locked="0"/>
    </xf>
    <xf numFmtId="167" fontId="6" fillId="5" borderId="34" xfId="0" applyNumberFormat="1" applyFont="1" applyFill="1" applyBorder="1" applyAlignment="1" applyProtection="1">
      <alignment horizontal="center" vertical="top" wrapText="1" readingOrder="1"/>
    </xf>
    <xf numFmtId="167" fontId="6" fillId="2" borderId="34" xfId="0" applyNumberFormat="1" applyFont="1" applyFill="1" applyBorder="1" applyAlignment="1" applyProtection="1">
      <alignment horizontal="center"/>
      <protection locked="0"/>
    </xf>
    <xf numFmtId="167" fontId="6" fillId="2" borderId="16" xfId="0" applyNumberFormat="1" applyFont="1" applyFill="1" applyBorder="1" applyAlignment="1" applyProtection="1">
      <alignment horizontal="center"/>
      <protection locked="0"/>
    </xf>
    <xf numFmtId="167" fontId="7" fillId="6" borderId="6" xfId="0" applyNumberFormat="1" applyFont="1" applyFill="1" applyBorder="1" applyProtection="1"/>
    <xf numFmtId="167" fontId="7" fillId="6" borderId="6" xfId="0" applyNumberFormat="1" applyFont="1" applyFill="1" applyBorder="1" applyAlignment="1" applyProtection="1">
      <alignment horizontal="center"/>
    </xf>
    <xf numFmtId="167" fontId="7" fillId="10" borderId="0" xfId="0" applyNumberFormat="1" applyFont="1" applyFill="1" applyProtection="1"/>
    <xf numFmtId="167" fontId="7" fillId="10" borderId="0" xfId="0" applyNumberFormat="1" applyFont="1" applyFill="1" applyAlignment="1" applyProtection="1">
      <alignment horizontal="center"/>
    </xf>
    <xf numFmtId="167" fontId="7" fillId="0" borderId="0" xfId="0" applyNumberFormat="1" applyFont="1" applyProtection="1"/>
    <xf numFmtId="167" fontId="7" fillId="0" borderId="0" xfId="0" applyNumberFormat="1" applyFont="1" applyAlignment="1" applyProtection="1">
      <alignment horizontal="center"/>
    </xf>
    <xf numFmtId="49" fontId="6" fillId="2" borderId="32" xfId="0" applyNumberFormat="1" applyFont="1" applyFill="1" applyBorder="1" applyAlignment="1" applyProtection="1">
      <alignment horizontal="center" vertical="top"/>
      <protection locked="0"/>
    </xf>
    <xf numFmtId="0" fontId="6" fillId="2" borderId="33" xfId="0" applyFont="1" applyFill="1" applyBorder="1" applyAlignment="1" applyProtection="1">
      <alignment horizontal="center" vertical="top"/>
      <protection locked="0"/>
    </xf>
    <xf numFmtId="0" fontId="3" fillId="0" borderId="35" xfId="0" applyFont="1" applyBorder="1" applyProtection="1">
      <protection locked="0"/>
    </xf>
    <xf numFmtId="0" fontId="3" fillId="0" borderId="8" xfId="0" applyFont="1" applyBorder="1" applyProtection="1">
      <protection locked="0"/>
    </xf>
    <xf numFmtId="0" fontId="4" fillId="10" borderId="50" xfId="0" applyFont="1" applyFill="1" applyBorder="1" applyAlignment="1">
      <alignment horizontal="left" vertical="top" wrapText="1"/>
    </xf>
    <xf numFmtId="0" fontId="4" fillId="10" borderId="62" xfId="0" applyFont="1" applyFill="1" applyBorder="1" applyAlignment="1">
      <alignment horizontal="left" vertical="top" wrapText="1"/>
    </xf>
    <xf numFmtId="0" fontId="4" fillId="10" borderId="51" xfId="0" applyFont="1" applyFill="1" applyBorder="1" applyAlignment="1">
      <alignment horizontal="left" vertical="top" wrapText="1"/>
    </xf>
    <xf numFmtId="0" fontId="21" fillId="10" borderId="25" xfId="0" applyFont="1" applyFill="1" applyBorder="1" applyAlignment="1">
      <alignment horizontal="left" vertical="top" wrapText="1"/>
    </xf>
    <xf numFmtId="0" fontId="34" fillId="10" borderId="0" xfId="0" applyFont="1" applyFill="1" applyBorder="1" applyAlignment="1">
      <alignment horizontal="center"/>
    </xf>
    <xf numFmtId="0" fontId="21" fillId="10" borderId="0" xfId="0" applyFont="1" applyFill="1" applyBorder="1" applyAlignment="1">
      <alignment horizontal="left" vertical="center"/>
    </xf>
    <xf numFmtId="0" fontId="4" fillId="10" borderId="0" xfId="0" applyFont="1" applyFill="1" applyBorder="1" applyAlignment="1">
      <alignment horizontal="left" vertical="center"/>
    </xf>
    <xf numFmtId="0" fontId="4" fillId="10" borderId="25" xfId="0" applyFont="1" applyFill="1" applyBorder="1" applyAlignment="1">
      <alignment horizontal="left" vertical="top" wrapText="1"/>
    </xf>
    <xf numFmtId="0" fontId="4" fillId="0" borderId="27" xfId="0" applyFont="1" applyFill="1" applyBorder="1" applyAlignment="1">
      <alignment horizontal="left" wrapText="1"/>
    </xf>
    <xf numFmtId="0" fontId="4" fillId="0" borderId="28" xfId="0" applyFont="1" applyFill="1" applyBorder="1" applyAlignment="1">
      <alignment horizontal="left" wrapText="1"/>
    </xf>
    <xf numFmtId="0" fontId="4" fillId="0" borderId="29" xfId="0" applyFont="1" applyFill="1" applyBorder="1" applyAlignment="1">
      <alignment horizontal="left" wrapText="1"/>
    </xf>
    <xf numFmtId="0" fontId="4" fillId="0" borderId="32" xfId="0" applyFont="1" applyFill="1" applyBorder="1" applyAlignment="1">
      <alignment horizontal="left"/>
    </xf>
    <xf numFmtId="0" fontId="4" fillId="0" borderId="60" xfId="0" applyFont="1" applyFill="1" applyBorder="1" applyAlignment="1">
      <alignment horizontal="left"/>
    </xf>
    <xf numFmtId="0" fontId="4" fillId="0" borderId="53" xfId="0" applyFont="1" applyFill="1" applyBorder="1" applyAlignment="1">
      <alignment horizontal="center"/>
    </xf>
    <xf numFmtId="0" fontId="4" fillId="0" borderId="58" xfId="0" applyFont="1" applyFill="1" applyBorder="1" applyAlignment="1">
      <alignment horizontal="center"/>
    </xf>
    <xf numFmtId="0" fontId="4" fillId="0" borderId="60" xfId="0" applyFont="1" applyFill="1" applyBorder="1" applyAlignment="1">
      <alignment horizontal="center"/>
    </xf>
    <xf numFmtId="0" fontId="4" fillId="0" borderId="50" xfId="0" applyFont="1" applyFill="1" applyBorder="1" applyAlignment="1">
      <alignment horizontal="center"/>
    </xf>
    <xf numFmtId="0" fontId="4" fillId="0" borderId="62" xfId="0" applyFont="1" applyFill="1" applyBorder="1" applyAlignment="1">
      <alignment horizontal="center"/>
    </xf>
    <xf numFmtId="0" fontId="4" fillId="0" borderId="65" xfId="0" applyFont="1" applyFill="1" applyBorder="1" applyAlignment="1">
      <alignment horizontal="center"/>
    </xf>
    <xf numFmtId="0" fontId="4" fillId="0" borderId="46" xfId="0" applyFont="1" applyFill="1" applyBorder="1" applyAlignment="1">
      <alignment horizontal="center"/>
    </xf>
    <xf numFmtId="0" fontId="4" fillId="0" borderId="63" xfId="0" applyFont="1" applyFill="1" applyBorder="1" applyAlignment="1">
      <alignment horizontal="center"/>
    </xf>
    <xf numFmtId="0" fontId="4" fillId="0" borderId="64" xfId="0" applyFont="1" applyFill="1" applyBorder="1" applyAlignment="1">
      <alignment horizontal="center"/>
    </xf>
    <xf numFmtId="0" fontId="4" fillId="10" borderId="6" xfId="0" applyFont="1" applyFill="1" applyBorder="1" applyAlignment="1">
      <alignment horizontal="left" vertical="top" wrapText="1"/>
    </xf>
    <xf numFmtId="0" fontId="4" fillId="10" borderId="50" xfId="0" applyFont="1" applyFill="1" applyBorder="1" applyAlignment="1">
      <alignment horizontal="left" vertical="top" wrapText="1" indent="2"/>
    </xf>
    <xf numFmtId="0" fontId="4" fillId="10" borderId="62" xfId="0" applyFont="1" applyFill="1" applyBorder="1" applyAlignment="1">
      <alignment horizontal="left" vertical="top" wrapText="1" indent="2"/>
    </xf>
    <xf numFmtId="0" fontId="4" fillId="10" borderId="51" xfId="0" applyFont="1" applyFill="1" applyBorder="1" applyAlignment="1">
      <alignment horizontal="left" vertical="top" wrapText="1" indent="2"/>
    </xf>
    <xf numFmtId="0" fontId="4" fillId="10" borderId="50" xfId="0" applyFont="1" applyFill="1" applyBorder="1" applyAlignment="1">
      <alignment horizontal="center" vertical="top" wrapText="1"/>
    </xf>
    <xf numFmtId="0" fontId="4" fillId="10" borderId="62" xfId="0" applyFont="1" applyFill="1" applyBorder="1" applyAlignment="1">
      <alignment horizontal="center" vertical="top" wrapText="1"/>
    </xf>
    <xf numFmtId="0" fontId="4" fillId="10" borderId="51" xfId="0" applyFont="1" applyFill="1" applyBorder="1" applyAlignment="1">
      <alignment horizontal="center" vertical="top" wrapText="1"/>
    </xf>
    <xf numFmtId="0" fontId="6" fillId="2" borderId="8" xfId="0" applyFont="1" applyFill="1" applyBorder="1" applyAlignment="1" applyProtection="1">
      <alignment horizontal="left" vertical="center"/>
      <protection locked="0"/>
    </xf>
    <xf numFmtId="0" fontId="6" fillId="2" borderId="10" xfId="0" applyFont="1" applyFill="1" applyBorder="1" applyAlignment="1" applyProtection="1">
      <alignment horizontal="left" vertical="center"/>
      <protection locked="0"/>
    </xf>
    <xf numFmtId="165" fontId="7" fillId="8" borderId="21" xfId="0" applyNumberFormat="1" applyFont="1" applyFill="1" applyBorder="1" applyAlignment="1" applyProtection="1">
      <alignment horizontal="left" vertical="center"/>
      <protection locked="0"/>
    </xf>
    <xf numFmtId="165" fontId="7" fillId="8" borderId="24" xfId="0" applyNumberFormat="1" applyFont="1" applyFill="1" applyBorder="1" applyAlignment="1" applyProtection="1">
      <alignment horizontal="left" vertical="center"/>
      <protection locked="0"/>
    </xf>
    <xf numFmtId="0" fontId="13" fillId="5" borderId="15" xfId="0" applyFont="1" applyFill="1" applyBorder="1" applyAlignment="1" applyProtection="1">
      <alignment horizontal="left" vertical="center" wrapText="1"/>
    </xf>
    <xf numFmtId="0" fontId="13" fillId="5" borderId="20" xfId="0" applyFont="1" applyFill="1" applyBorder="1" applyAlignment="1" applyProtection="1">
      <alignment horizontal="left" vertical="center" wrapText="1"/>
    </xf>
    <xf numFmtId="0" fontId="13" fillId="5" borderId="16" xfId="0" applyFont="1" applyFill="1" applyBorder="1" applyAlignment="1" applyProtection="1">
      <alignment horizontal="left" vertical="center" wrapText="1"/>
    </xf>
    <xf numFmtId="0" fontId="6" fillId="5" borderId="12" xfId="0" applyFont="1" applyFill="1" applyBorder="1" applyAlignment="1" applyProtection="1">
      <alignment horizontal="left" vertical="center"/>
    </xf>
    <xf numFmtId="0" fontId="6" fillId="5" borderId="14" xfId="0" applyFont="1" applyFill="1" applyBorder="1" applyAlignment="1" applyProtection="1">
      <alignment horizontal="left" vertical="center"/>
    </xf>
    <xf numFmtId="0" fontId="7" fillId="8" borderId="56" xfId="0" applyFont="1" applyFill="1" applyBorder="1" applyAlignment="1" applyProtection="1">
      <alignment horizontal="left" vertical="center"/>
      <protection locked="0"/>
    </xf>
    <xf numFmtId="0" fontId="7" fillId="8" borderId="40" xfId="0" applyFont="1" applyFill="1" applyBorder="1" applyAlignment="1" applyProtection="1">
      <alignment horizontal="left" vertical="center"/>
      <protection locked="0"/>
    </xf>
    <xf numFmtId="0" fontId="7" fillId="8" borderId="31" xfId="0" applyFont="1" applyFill="1" applyBorder="1" applyAlignment="1" applyProtection="1">
      <alignment horizontal="left" vertical="center"/>
      <protection locked="0"/>
    </xf>
    <xf numFmtId="0" fontId="7" fillId="8" borderId="11" xfId="0" applyFont="1" applyFill="1" applyBorder="1" applyAlignment="1" applyProtection="1">
      <alignment horizontal="left" vertical="center"/>
      <protection locked="0"/>
    </xf>
    <xf numFmtId="0" fontId="13" fillId="5" borderId="21" xfId="0" applyFont="1" applyFill="1" applyBorder="1" applyAlignment="1" applyProtection="1">
      <alignment horizontal="left" vertical="center"/>
    </xf>
    <xf numFmtId="0" fontId="13" fillId="5" borderId="42" xfId="0" applyFont="1" applyFill="1" applyBorder="1" applyAlignment="1" applyProtection="1">
      <alignment horizontal="left" vertical="center"/>
    </xf>
    <xf numFmtId="0" fontId="24" fillId="6" borderId="0" xfId="0" applyFont="1" applyFill="1" applyBorder="1" applyAlignment="1" applyProtection="1">
      <alignment horizontal="left" vertical="center"/>
    </xf>
    <xf numFmtId="0" fontId="29" fillId="6" borderId="17" xfId="0" applyFont="1" applyFill="1" applyBorder="1" applyAlignment="1" applyProtection="1">
      <alignment horizontal="left" vertical="center"/>
    </xf>
    <xf numFmtId="0" fontId="29" fillId="6" borderId="0" xfId="0" applyFont="1" applyFill="1" applyBorder="1" applyAlignment="1" applyProtection="1">
      <alignment horizontal="left" vertical="center"/>
    </xf>
    <xf numFmtId="0" fontId="29" fillId="6" borderId="18" xfId="0" applyFont="1" applyFill="1" applyBorder="1" applyAlignment="1" applyProtection="1">
      <alignment horizontal="left" vertical="center"/>
    </xf>
    <xf numFmtId="0" fontId="13" fillId="5" borderId="2" xfId="0" applyFont="1" applyFill="1" applyBorder="1" applyAlignment="1" applyProtection="1">
      <alignment horizontal="left" vertical="center" wrapText="1"/>
    </xf>
    <xf numFmtId="0" fontId="13" fillId="5" borderId="5" xfId="0" applyFont="1" applyFill="1" applyBorder="1" applyAlignment="1" applyProtection="1">
      <alignment horizontal="left" vertical="center" wrapText="1"/>
    </xf>
    <xf numFmtId="0" fontId="12" fillId="5" borderId="5" xfId="0" applyFont="1" applyFill="1" applyBorder="1" applyAlignment="1" applyProtection="1">
      <alignment horizontal="left" vertical="center" wrapText="1"/>
    </xf>
    <xf numFmtId="0" fontId="12" fillId="5" borderId="28" xfId="0" applyFont="1" applyFill="1" applyBorder="1" applyAlignment="1" applyProtection="1">
      <alignment horizontal="left" vertical="center" wrapText="1"/>
    </xf>
    <xf numFmtId="0" fontId="12" fillId="5" borderId="29" xfId="0" applyFont="1" applyFill="1" applyBorder="1" applyAlignment="1" applyProtection="1">
      <alignment horizontal="left" vertical="center" wrapText="1"/>
    </xf>
    <xf numFmtId="49" fontId="10" fillId="8" borderId="2" xfId="0" applyNumberFormat="1" applyFont="1" applyFill="1" applyBorder="1" applyAlignment="1" applyProtection="1">
      <alignment horizontal="left" vertical="center" wrapText="1"/>
      <protection locked="0"/>
    </xf>
    <xf numFmtId="49" fontId="10" fillId="8" borderId="3" xfId="0" applyNumberFormat="1" applyFont="1" applyFill="1" applyBorder="1" applyAlignment="1" applyProtection="1">
      <alignment horizontal="left" vertical="center" wrapText="1"/>
      <protection locked="0"/>
    </xf>
    <xf numFmtId="49" fontId="10" fillId="8" borderId="4" xfId="0" applyNumberFormat="1" applyFont="1" applyFill="1" applyBorder="1" applyAlignment="1" applyProtection="1">
      <alignment horizontal="left" vertical="center" wrapText="1"/>
      <protection locked="0"/>
    </xf>
    <xf numFmtId="49" fontId="10" fillId="8" borderId="17" xfId="0" applyNumberFormat="1" applyFont="1" applyFill="1" applyBorder="1" applyAlignment="1" applyProtection="1">
      <alignment horizontal="left" vertical="center" wrapText="1"/>
      <protection locked="0"/>
    </xf>
    <xf numFmtId="49" fontId="10" fillId="8" borderId="0" xfId="0" applyNumberFormat="1" applyFont="1" applyFill="1" applyBorder="1" applyAlignment="1" applyProtection="1">
      <alignment horizontal="left" vertical="center" wrapText="1"/>
      <protection locked="0"/>
    </xf>
    <xf numFmtId="49" fontId="10" fillId="8" borderId="18" xfId="0" applyNumberFormat="1" applyFont="1" applyFill="1" applyBorder="1" applyAlignment="1" applyProtection="1">
      <alignment horizontal="left" vertical="center" wrapText="1"/>
      <protection locked="0"/>
    </xf>
    <xf numFmtId="49" fontId="10" fillId="8" borderId="5" xfId="0" applyNumberFormat="1" applyFont="1" applyFill="1" applyBorder="1" applyAlignment="1" applyProtection="1">
      <alignment horizontal="left" vertical="center" wrapText="1"/>
      <protection locked="0"/>
    </xf>
    <xf numFmtId="49" fontId="10" fillId="8" borderId="6" xfId="0" applyNumberFormat="1" applyFont="1" applyFill="1" applyBorder="1" applyAlignment="1" applyProtection="1">
      <alignment horizontal="left" vertical="center" wrapText="1"/>
      <protection locked="0"/>
    </xf>
    <xf numFmtId="49" fontId="10" fillId="8" borderId="7" xfId="0" applyNumberFormat="1" applyFont="1" applyFill="1" applyBorder="1" applyAlignment="1" applyProtection="1">
      <alignment horizontal="left" vertical="center" wrapText="1"/>
      <protection locked="0"/>
    </xf>
    <xf numFmtId="0" fontId="13" fillId="8" borderId="30" xfId="0" applyFont="1" applyFill="1" applyBorder="1" applyAlignment="1" applyProtection="1">
      <alignment horizontal="left" vertical="center" wrapText="1"/>
      <protection locked="0"/>
    </xf>
    <xf numFmtId="0" fontId="13" fillId="8" borderId="31" xfId="0" applyFont="1" applyFill="1" applyBorder="1" applyAlignment="1" applyProtection="1">
      <alignment horizontal="left" vertical="center" wrapText="1"/>
      <protection locked="0"/>
    </xf>
    <xf numFmtId="0" fontId="13" fillId="8" borderId="53" xfId="0" applyFont="1" applyFill="1" applyBorder="1" applyAlignment="1" applyProtection="1">
      <alignment horizontal="left" vertical="center" wrapText="1"/>
      <protection locked="0"/>
    </xf>
    <xf numFmtId="0" fontId="13" fillId="8" borderId="46" xfId="0" applyFont="1" applyFill="1" applyBorder="1" applyAlignment="1" applyProtection="1">
      <alignment horizontal="left" vertical="center" wrapText="1"/>
      <protection locked="0"/>
    </xf>
    <xf numFmtId="0" fontId="6" fillId="2" borderId="22" xfId="0" applyFont="1" applyFill="1" applyBorder="1" applyAlignment="1" applyProtection="1">
      <alignment horizontal="left" vertical="center"/>
      <protection locked="0"/>
    </xf>
    <xf numFmtId="0" fontId="6" fillId="2" borderId="23" xfId="0" applyFont="1" applyFill="1" applyBorder="1" applyAlignment="1" applyProtection="1">
      <alignment horizontal="left" vertical="center"/>
      <protection locked="0"/>
    </xf>
    <xf numFmtId="0" fontId="6" fillId="4" borderId="56" xfId="0" applyFont="1" applyFill="1" applyBorder="1" applyAlignment="1" applyProtection="1">
      <alignment horizontal="center" vertical="center"/>
    </xf>
    <xf numFmtId="0" fontId="6" fillId="4" borderId="39" xfId="0" applyFont="1" applyFill="1" applyBorder="1" applyAlignment="1" applyProtection="1">
      <alignment horizontal="center" vertical="center"/>
    </xf>
    <xf numFmtId="0" fontId="6" fillId="4" borderId="31" xfId="0" applyFont="1" applyFill="1" applyBorder="1" applyAlignment="1" applyProtection="1">
      <alignment horizontal="center" vertical="center"/>
    </xf>
    <xf numFmtId="0" fontId="6" fillId="4" borderId="10" xfId="0" applyFont="1" applyFill="1" applyBorder="1" applyAlignment="1" applyProtection="1">
      <alignment horizontal="center" vertical="center"/>
    </xf>
    <xf numFmtId="0" fontId="6" fillId="5" borderId="12" xfId="0" applyFont="1" applyFill="1" applyBorder="1" applyAlignment="1" applyProtection="1">
      <alignment horizontal="center" vertical="center" wrapText="1"/>
    </xf>
    <xf numFmtId="0" fontId="6" fillId="5" borderId="13" xfId="0" applyFont="1" applyFill="1" applyBorder="1" applyAlignment="1" applyProtection="1">
      <alignment horizontal="center" vertical="center" wrapText="1"/>
    </xf>
    <xf numFmtId="0" fontId="13" fillId="5" borderId="2" xfId="0" applyFont="1" applyFill="1" applyBorder="1" applyAlignment="1" applyProtection="1">
      <alignment horizontal="center" vertical="center" wrapText="1"/>
    </xf>
    <xf numFmtId="0" fontId="13" fillId="5" borderId="3" xfId="0" applyFont="1" applyFill="1" applyBorder="1" applyAlignment="1" applyProtection="1">
      <alignment horizontal="center" vertical="center" wrapText="1"/>
    </xf>
    <xf numFmtId="0" fontId="13" fillId="5" borderId="4" xfId="0" applyFont="1" applyFill="1" applyBorder="1" applyAlignment="1" applyProtection="1">
      <alignment horizontal="center" vertical="center" wrapText="1"/>
    </xf>
    <xf numFmtId="0" fontId="13" fillId="5" borderId="5" xfId="0" applyFont="1" applyFill="1" applyBorder="1" applyAlignment="1" applyProtection="1">
      <alignment horizontal="center" vertical="center" wrapText="1"/>
    </xf>
    <xf numFmtId="0" fontId="13" fillId="5" borderId="6" xfId="0" applyFont="1" applyFill="1" applyBorder="1" applyAlignment="1" applyProtection="1">
      <alignment horizontal="center" vertical="center" wrapText="1"/>
    </xf>
    <xf numFmtId="0" fontId="13" fillId="5" borderId="7" xfId="0" applyFont="1" applyFill="1" applyBorder="1" applyAlignment="1" applyProtection="1">
      <alignment horizontal="center" vertical="center" wrapText="1"/>
    </xf>
    <xf numFmtId="0" fontId="36" fillId="10" borderId="0" xfId="0" applyFont="1" applyFill="1" applyAlignment="1">
      <alignment horizontal="center"/>
    </xf>
    <xf numFmtId="166" fontId="36" fillId="10" borderId="0" xfId="0" applyNumberFormat="1" applyFont="1" applyFill="1" applyAlignment="1">
      <alignment horizontal="center"/>
    </xf>
    <xf numFmtId="167" fontId="0" fillId="6" borderId="58" xfId="0" applyNumberFormat="1" applyFont="1" applyFill="1" applyBorder="1" applyAlignment="1">
      <alignment horizontal="center" vertical="top"/>
    </xf>
    <xf numFmtId="0" fontId="0" fillId="6" borderId="58" xfId="0" applyFont="1" applyFill="1" applyBorder="1" applyAlignment="1">
      <alignment horizontal="right" vertical="top"/>
    </xf>
    <xf numFmtId="0" fontId="16" fillId="12" borderId="48" xfId="0" applyFont="1" applyFill="1" applyBorder="1" applyAlignment="1">
      <alignment horizontal="center" vertical="center" wrapText="1"/>
    </xf>
    <xf numFmtId="0" fontId="16" fillId="12" borderId="57" xfId="0" applyFont="1" applyFill="1" applyBorder="1" applyAlignment="1">
      <alignment horizontal="center" vertical="center" wrapText="1"/>
    </xf>
    <xf numFmtId="0" fontId="16" fillId="12" borderId="59" xfId="0" applyFont="1" applyFill="1" applyBorder="1" applyAlignment="1">
      <alignment horizontal="center" vertical="center" wrapText="1"/>
    </xf>
    <xf numFmtId="0" fontId="16" fillId="12" borderId="17" xfId="0" applyFont="1" applyFill="1" applyBorder="1" applyAlignment="1">
      <alignment horizontal="center" vertical="center" wrapText="1"/>
    </xf>
    <xf numFmtId="0" fontId="16" fillId="12" borderId="0" xfId="0" applyFont="1" applyFill="1" applyBorder="1" applyAlignment="1">
      <alignment horizontal="center" vertical="center" wrapText="1"/>
    </xf>
    <xf numFmtId="0" fontId="16" fillId="12" borderId="18" xfId="0" applyFont="1" applyFill="1" applyBorder="1" applyAlignment="1">
      <alignment horizontal="center" vertical="center" wrapText="1"/>
    </xf>
    <xf numFmtId="0" fontId="16" fillId="12" borderId="5"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6" fillId="12" borderId="7" xfId="0" applyFont="1" applyFill="1" applyBorder="1" applyAlignment="1">
      <alignment horizontal="center" vertical="center" wrapText="1"/>
    </xf>
    <xf numFmtId="0" fontId="16" fillId="11" borderId="48" xfId="0" applyFont="1" applyFill="1" applyBorder="1" applyAlignment="1">
      <alignment horizontal="center" vertical="center" wrapText="1"/>
    </xf>
    <xf numFmtId="0" fontId="16" fillId="11" borderId="57" xfId="0" applyFont="1" applyFill="1" applyBorder="1" applyAlignment="1">
      <alignment horizontal="center" vertical="center" wrapText="1"/>
    </xf>
    <xf numFmtId="0" fontId="16" fillId="11" borderId="59" xfId="0" applyFont="1" applyFill="1" applyBorder="1" applyAlignment="1">
      <alignment horizontal="center" vertical="center" wrapText="1"/>
    </xf>
    <xf numFmtId="0" fontId="16" fillId="11" borderId="17" xfId="0" applyFont="1" applyFill="1" applyBorder="1" applyAlignment="1">
      <alignment horizontal="center" vertical="center" wrapText="1"/>
    </xf>
    <xf numFmtId="0" fontId="16" fillId="11" borderId="0" xfId="0" applyFont="1" applyFill="1" applyBorder="1" applyAlignment="1">
      <alignment horizontal="center" vertical="center" wrapText="1"/>
    </xf>
    <xf numFmtId="0" fontId="16" fillId="11" borderId="18" xfId="0" applyFont="1" applyFill="1" applyBorder="1" applyAlignment="1">
      <alignment horizontal="center" vertical="center" wrapText="1"/>
    </xf>
    <xf numFmtId="0" fontId="16" fillId="11" borderId="5" xfId="0" applyFont="1" applyFill="1" applyBorder="1" applyAlignment="1">
      <alignment horizontal="center" vertical="center" wrapText="1"/>
    </xf>
    <xf numFmtId="0" fontId="16" fillId="11" borderId="6" xfId="0" applyFont="1" applyFill="1" applyBorder="1" applyAlignment="1">
      <alignment horizontal="center" vertical="center" wrapText="1"/>
    </xf>
    <xf numFmtId="0" fontId="16" fillId="11" borderId="7" xfId="0" applyFont="1" applyFill="1" applyBorder="1" applyAlignment="1">
      <alignment horizontal="center" vertical="center" wrapText="1"/>
    </xf>
    <xf numFmtId="0" fontId="16" fillId="13" borderId="48" xfId="0" applyFont="1" applyFill="1" applyBorder="1" applyAlignment="1">
      <alignment horizontal="center" vertical="center" wrapText="1"/>
    </xf>
    <xf numFmtId="0" fontId="16" fillId="13" borderId="57" xfId="0" applyFont="1" applyFill="1" applyBorder="1" applyAlignment="1">
      <alignment horizontal="center" vertical="center" wrapText="1"/>
    </xf>
    <xf numFmtId="0" fontId="16" fillId="13" borderId="59" xfId="0" applyFont="1" applyFill="1" applyBorder="1" applyAlignment="1">
      <alignment horizontal="center" vertical="center" wrapText="1"/>
    </xf>
    <xf numFmtId="0" fontId="16" fillId="13" borderId="17" xfId="0" applyFont="1" applyFill="1" applyBorder="1" applyAlignment="1">
      <alignment horizontal="center" vertical="center" wrapText="1"/>
    </xf>
    <xf numFmtId="0" fontId="16" fillId="13" borderId="0" xfId="0" applyFont="1" applyFill="1" applyBorder="1" applyAlignment="1">
      <alignment horizontal="center" vertical="center" wrapText="1"/>
    </xf>
    <xf numFmtId="0" fontId="16" fillId="13" borderId="18" xfId="0" applyFont="1" applyFill="1" applyBorder="1" applyAlignment="1">
      <alignment horizontal="center" vertical="center" wrapText="1"/>
    </xf>
    <xf numFmtId="0" fontId="16" fillId="13" borderId="5" xfId="0" applyFont="1" applyFill="1" applyBorder="1" applyAlignment="1">
      <alignment horizontal="center" vertical="center" wrapText="1"/>
    </xf>
    <xf numFmtId="0" fontId="16" fillId="13" borderId="6" xfId="0" applyFont="1" applyFill="1" applyBorder="1" applyAlignment="1">
      <alignment horizontal="center" vertical="center" wrapText="1"/>
    </xf>
    <xf numFmtId="0" fontId="16" fillId="13" borderId="7" xfId="0" applyFont="1" applyFill="1" applyBorder="1" applyAlignment="1">
      <alignment horizontal="center" vertical="center" wrapText="1"/>
    </xf>
    <xf numFmtId="0" fontId="16" fillId="14" borderId="48" xfId="0" applyFont="1" applyFill="1" applyBorder="1" applyAlignment="1">
      <alignment horizontal="center" vertical="center" wrapText="1"/>
    </xf>
    <xf numFmtId="0" fontId="16" fillId="14" borderId="57" xfId="0" applyFont="1" applyFill="1" applyBorder="1" applyAlignment="1">
      <alignment horizontal="center" vertical="center" wrapText="1"/>
    </xf>
    <xf numFmtId="0" fontId="16" fillId="14" borderId="59" xfId="0" applyFont="1" applyFill="1" applyBorder="1" applyAlignment="1">
      <alignment horizontal="center" vertical="center" wrapText="1"/>
    </xf>
    <xf numFmtId="0" fontId="16" fillId="14" borderId="17" xfId="0" applyFont="1" applyFill="1" applyBorder="1" applyAlignment="1">
      <alignment horizontal="center" vertical="center" wrapText="1"/>
    </xf>
    <xf numFmtId="0" fontId="16" fillId="14" borderId="0" xfId="0" applyFont="1" applyFill="1" applyBorder="1" applyAlignment="1">
      <alignment horizontal="center" vertical="center" wrapText="1"/>
    </xf>
    <xf numFmtId="0" fontId="16" fillId="14" borderId="18" xfId="0" applyFont="1" applyFill="1" applyBorder="1" applyAlignment="1">
      <alignment horizontal="center" vertical="center" wrapText="1"/>
    </xf>
    <xf numFmtId="0" fontId="16" fillId="14" borderId="5" xfId="0" applyFont="1" applyFill="1" applyBorder="1" applyAlignment="1">
      <alignment horizontal="center" vertical="center" wrapText="1"/>
    </xf>
    <xf numFmtId="0" fontId="16" fillId="14" borderId="6" xfId="0" applyFont="1" applyFill="1" applyBorder="1" applyAlignment="1">
      <alignment horizontal="center" vertical="center" wrapText="1"/>
    </xf>
    <xf numFmtId="0" fontId="16" fillId="14" borderId="7" xfId="0" applyFont="1" applyFill="1" applyBorder="1" applyAlignment="1">
      <alignment horizontal="center" vertical="center" wrapText="1"/>
    </xf>
    <xf numFmtId="0" fontId="9" fillId="6" borderId="0" xfId="0" applyFont="1" applyFill="1" applyBorder="1" applyAlignment="1" applyProtection="1">
      <alignment horizontal="left"/>
    </xf>
    <xf numFmtId="0" fontId="6" fillId="5" borderId="14" xfId="0" applyFont="1" applyFill="1" applyBorder="1" applyAlignment="1" applyProtection="1">
      <alignment horizontal="center" vertical="center" wrapText="1"/>
    </xf>
    <xf numFmtId="0" fontId="6" fillId="4" borderId="40" xfId="0" applyFont="1" applyFill="1" applyBorder="1" applyAlignment="1" applyProtection="1">
      <alignment horizontal="center" vertical="center"/>
    </xf>
    <xf numFmtId="0" fontId="6" fillId="4" borderId="11" xfId="0" applyFont="1" applyFill="1" applyBorder="1" applyAlignment="1" applyProtection="1">
      <alignment horizontal="center" vertical="center"/>
    </xf>
    <xf numFmtId="0" fontId="2" fillId="6" borderId="3" xfId="0" applyFont="1" applyFill="1" applyBorder="1" applyAlignment="1">
      <alignment horizontal="right" vertical="top"/>
    </xf>
    <xf numFmtId="165" fontId="2" fillId="6" borderId="3" xfId="0" applyNumberFormat="1" applyFont="1" applyFill="1" applyBorder="1" applyAlignment="1">
      <alignment horizontal="left" vertical="top"/>
    </xf>
    <xf numFmtId="165" fontId="2" fillId="6" borderId="4" xfId="0" applyNumberFormat="1" applyFont="1" applyFill="1" applyBorder="1" applyAlignment="1">
      <alignment horizontal="left" vertical="top"/>
    </xf>
    <xf numFmtId="0" fontId="0" fillId="6" borderId="5" xfId="0" applyFill="1" applyBorder="1" applyAlignment="1" applyProtection="1">
      <alignment horizontal="right"/>
    </xf>
    <xf numFmtId="0" fontId="0" fillId="6" borderId="6" xfId="0" applyFill="1" applyBorder="1" applyAlignment="1" applyProtection="1">
      <alignment horizontal="right"/>
    </xf>
    <xf numFmtId="0" fontId="0" fillId="6" borderId="6" xfId="0" applyFill="1" applyBorder="1" applyAlignment="1" applyProtection="1">
      <alignment horizontal="left"/>
    </xf>
    <xf numFmtId="0" fontId="31" fillId="6" borderId="3" xfId="0" applyFont="1" applyFill="1" applyBorder="1" applyAlignment="1">
      <alignment horizontal="right" vertical="top"/>
    </xf>
    <xf numFmtId="0" fontId="31" fillId="6" borderId="3" xfId="0" applyFont="1" applyFill="1" applyBorder="1" applyAlignment="1">
      <alignment horizontal="center" vertical="top"/>
    </xf>
    <xf numFmtId="0" fontId="33" fillId="6" borderId="3" xfId="0" applyFont="1" applyFill="1" applyBorder="1" applyAlignment="1">
      <alignment horizontal="left" vertical="top"/>
    </xf>
    <xf numFmtId="0" fontId="31" fillId="6" borderId="3" xfId="0" applyFont="1" applyFill="1" applyBorder="1" applyAlignment="1">
      <alignment horizontal="left" vertical="top"/>
    </xf>
    <xf numFmtId="0" fontId="3" fillId="5" borderId="27" xfId="0" applyFont="1" applyFill="1" applyBorder="1" applyAlignment="1">
      <alignment horizontal="center"/>
    </xf>
    <xf numFmtId="0" fontId="3" fillId="5" borderId="28" xfId="0" applyFont="1" applyFill="1" applyBorder="1" applyAlignment="1">
      <alignment horizontal="center"/>
    </xf>
    <xf numFmtId="0" fontId="3" fillId="5" borderId="29" xfId="0" applyFont="1" applyFill="1" applyBorder="1" applyAlignment="1">
      <alignment horizontal="center"/>
    </xf>
    <xf numFmtId="9" fontId="3" fillId="5" borderId="27" xfId="2" applyFont="1" applyFill="1" applyBorder="1" applyAlignment="1">
      <alignment horizontal="center"/>
    </xf>
    <xf numFmtId="9" fontId="3" fillId="5" borderId="28" xfId="2" applyFont="1" applyFill="1" applyBorder="1" applyAlignment="1">
      <alignment horizontal="center"/>
    </xf>
    <xf numFmtId="9" fontId="3" fillId="5" borderId="29" xfId="2" applyFont="1" applyFill="1" applyBorder="1" applyAlignment="1">
      <alignment horizontal="center"/>
    </xf>
    <xf numFmtId="0" fontId="15" fillId="5" borderId="32" xfId="0" applyFont="1" applyFill="1" applyBorder="1" applyAlignment="1" applyProtection="1">
      <alignment horizontal="left" vertical="center" wrapText="1"/>
    </xf>
    <xf numFmtId="0" fontId="15" fillId="5" borderId="34" xfId="0" applyFont="1" applyFill="1" applyBorder="1" applyAlignment="1" applyProtection="1">
      <alignment horizontal="left" vertical="center" wrapText="1"/>
    </xf>
    <xf numFmtId="0" fontId="13" fillId="4" borderId="56" xfId="0" applyFont="1" applyFill="1" applyBorder="1" applyAlignment="1" applyProtection="1">
      <alignment horizontal="left" vertical="center" wrapText="1"/>
    </xf>
    <xf numFmtId="0" fontId="13" fillId="4" borderId="31" xfId="0" applyFont="1" applyFill="1" applyBorder="1" applyAlignment="1" applyProtection="1">
      <alignment horizontal="left" vertical="center" wrapText="1"/>
    </xf>
    <xf numFmtId="0" fontId="13" fillId="4" borderId="39" xfId="0" applyFont="1" applyFill="1" applyBorder="1" applyAlignment="1" applyProtection="1">
      <alignment horizontal="left" vertical="center" wrapText="1"/>
    </xf>
    <xf numFmtId="0" fontId="13" fillId="4" borderId="10" xfId="0" applyFont="1" applyFill="1" applyBorder="1" applyAlignment="1" applyProtection="1">
      <alignment horizontal="left" vertical="center" wrapText="1"/>
    </xf>
    <xf numFmtId="0" fontId="25" fillId="6" borderId="0" xfId="0" applyFont="1" applyFill="1" applyBorder="1" applyAlignment="1" applyProtection="1">
      <alignment horizontal="center"/>
    </xf>
    <xf numFmtId="165" fontId="2" fillId="6" borderId="3" xfId="0" applyNumberFormat="1" applyFont="1" applyFill="1" applyBorder="1" applyAlignment="1" applyProtection="1">
      <alignment horizontal="left" vertical="top"/>
    </xf>
    <xf numFmtId="0" fontId="13" fillId="4" borderId="40" xfId="0" applyFont="1" applyFill="1" applyBorder="1" applyAlignment="1" applyProtection="1">
      <alignment horizontal="left" vertical="center"/>
    </xf>
    <xf numFmtId="0" fontId="13" fillId="4" borderId="11" xfId="0" applyFont="1" applyFill="1" applyBorder="1" applyAlignment="1" applyProtection="1">
      <alignment horizontal="left" vertical="center"/>
    </xf>
    <xf numFmtId="0" fontId="13" fillId="4" borderId="27" xfId="0" applyFont="1" applyFill="1" applyBorder="1" applyAlignment="1" applyProtection="1">
      <alignment horizontal="left" vertical="center"/>
    </xf>
    <xf numFmtId="0" fontId="13" fillId="4" borderId="29" xfId="0" applyFont="1" applyFill="1" applyBorder="1" applyAlignment="1" applyProtection="1">
      <alignment horizontal="left" vertical="center"/>
    </xf>
    <xf numFmtId="0" fontId="6" fillId="5" borderId="27" xfId="0" applyFont="1" applyFill="1" applyBorder="1" applyAlignment="1" applyProtection="1">
      <alignment horizontal="left"/>
    </xf>
    <xf numFmtId="0" fontId="6" fillId="5" borderId="29" xfId="0" applyFont="1" applyFill="1" applyBorder="1" applyAlignment="1" applyProtection="1">
      <alignment horizontal="left"/>
    </xf>
    <xf numFmtId="0" fontId="12" fillId="5" borderId="27" xfId="0" applyFont="1" applyFill="1" applyBorder="1" applyAlignment="1" applyProtection="1">
      <alignment horizontal="left" wrapText="1"/>
    </xf>
    <xf numFmtId="0" fontId="12" fillId="5" borderId="28" xfId="0" applyFont="1" applyFill="1" applyBorder="1" applyAlignment="1" applyProtection="1">
      <alignment horizontal="left"/>
    </xf>
    <xf numFmtId="0" fontId="12" fillId="5" borderId="29" xfId="0" applyFont="1" applyFill="1" applyBorder="1" applyAlignment="1" applyProtection="1">
      <alignment horizontal="left"/>
    </xf>
    <xf numFmtId="49" fontId="10" fillId="8" borderId="2" xfId="0" applyNumberFormat="1" applyFont="1" applyFill="1" applyBorder="1" applyAlignment="1" applyProtection="1">
      <alignment horizontal="left" vertical="top" wrapText="1" readingOrder="1"/>
      <protection locked="0"/>
    </xf>
    <xf numFmtId="49" fontId="10" fillId="8" borderId="3" xfId="0" applyNumberFormat="1" applyFont="1" applyFill="1" applyBorder="1" applyAlignment="1" applyProtection="1">
      <alignment horizontal="left" vertical="top" wrapText="1" readingOrder="1"/>
      <protection locked="0"/>
    </xf>
    <xf numFmtId="49" fontId="10" fillId="8" borderId="4" xfId="0" applyNumberFormat="1" applyFont="1" applyFill="1" applyBorder="1" applyAlignment="1" applyProtection="1">
      <alignment horizontal="left" vertical="top" wrapText="1" readingOrder="1"/>
      <protection locked="0"/>
    </xf>
    <xf numFmtId="49" fontId="10" fillId="8" borderId="17" xfId="0" applyNumberFormat="1" applyFont="1" applyFill="1" applyBorder="1" applyAlignment="1" applyProtection="1">
      <alignment horizontal="left" vertical="top" wrapText="1" readingOrder="1"/>
      <protection locked="0"/>
    </xf>
    <xf numFmtId="49" fontId="10" fillId="8" borderId="0" xfId="0" applyNumberFormat="1" applyFont="1" applyFill="1" applyBorder="1" applyAlignment="1" applyProtection="1">
      <alignment horizontal="left" vertical="top" wrapText="1" readingOrder="1"/>
      <protection locked="0"/>
    </xf>
    <xf numFmtId="49" fontId="10" fillId="8" borderId="18" xfId="0" applyNumberFormat="1" applyFont="1" applyFill="1" applyBorder="1" applyAlignment="1" applyProtection="1">
      <alignment horizontal="left" vertical="top" wrapText="1" readingOrder="1"/>
      <protection locked="0"/>
    </xf>
    <xf numFmtId="49" fontId="10" fillId="8" borderId="5" xfId="0" applyNumberFormat="1" applyFont="1" applyFill="1" applyBorder="1" applyAlignment="1" applyProtection="1">
      <alignment horizontal="left" vertical="top" wrapText="1" readingOrder="1"/>
      <protection locked="0"/>
    </xf>
    <xf numFmtId="49" fontId="10" fillId="8" borderId="6" xfId="0" applyNumberFormat="1" applyFont="1" applyFill="1" applyBorder="1" applyAlignment="1" applyProtection="1">
      <alignment horizontal="left" vertical="top" wrapText="1" readingOrder="1"/>
      <protection locked="0"/>
    </xf>
    <xf numFmtId="49" fontId="10" fillId="8" borderId="7" xfId="0" applyNumberFormat="1" applyFont="1" applyFill="1" applyBorder="1" applyAlignment="1" applyProtection="1">
      <alignment horizontal="left" vertical="top" wrapText="1" readingOrder="1"/>
      <protection locked="0"/>
    </xf>
    <xf numFmtId="0" fontId="6" fillId="5" borderId="31" xfId="0" applyFont="1" applyFill="1" applyBorder="1" applyAlignment="1" applyProtection="1">
      <alignment horizontal="left"/>
    </xf>
    <xf numFmtId="0" fontId="6" fillId="5" borderId="10" xfId="0" applyFont="1" applyFill="1" applyBorder="1" applyAlignment="1" applyProtection="1">
      <alignment horizontal="left"/>
    </xf>
    <xf numFmtId="167" fontId="7" fillId="8" borderId="10" xfId="0" applyNumberFormat="1" applyFont="1" applyFill="1" applyBorder="1" applyAlignment="1" applyProtection="1">
      <alignment horizontal="center"/>
      <protection locked="0"/>
    </xf>
    <xf numFmtId="167" fontId="7" fillId="8" borderId="11" xfId="0" applyNumberFormat="1" applyFont="1" applyFill="1" applyBorder="1" applyAlignment="1" applyProtection="1">
      <alignment horizontal="center"/>
      <protection locked="0"/>
    </xf>
    <xf numFmtId="0" fontId="6" fillId="5" borderId="30" xfId="0" applyFont="1" applyFill="1" applyBorder="1" applyAlignment="1" applyProtection="1">
      <alignment horizontal="left" vertical="top" wrapText="1"/>
    </xf>
    <xf numFmtId="0" fontId="6" fillId="5" borderId="8" xfId="0" applyFont="1" applyFill="1" applyBorder="1" applyAlignment="1" applyProtection="1">
      <alignment horizontal="left" vertical="top" wrapText="1"/>
    </xf>
    <xf numFmtId="0" fontId="6" fillId="5" borderId="35" xfId="0" applyFont="1" applyFill="1" applyBorder="1" applyAlignment="1" applyProtection="1">
      <alignment horizontal="left" vertical="top" wrapText="1"/>
    </xf>
    <xf numFmtId="0" fontId="6" fillId="5" borderId="25" xfId="0" applyFont="1" applyFill="1" applyBorder="1" applyAlignment="1" applyProtection="1">
      <alignment horizontal="left" vertical="top" wrapText="1"/>
    </xf>
    <xf numFmtId="0" fontId="11" fillId="8" borderId="8" xfId="0" applyFont="1" applyFill="1" applyBorder="1" applyAlignment="1" applyProtection="1">
      <alignment horizontal="center"/>
      <protection locked="0"/>
    </xf>
    <xf numFmtId="0" fontId="11" fillId="8" borderId="9" xfId="0" applyFont="1" applyFill="1" applyBorder="1" applyAlignment="1" applyProtection="1">
      <alignment horizontal="center"/>
      <protection locked="0"/>
    </xf>
    <xf numFmtId="0" fontId="11" fillId="8" borderId="25" xfId="0" applyFont="1" applyFill="1" applyBorder="1" applyAlignment="1" applyProtection="1">
      <alignment horizontal="center"/>
      <protection locked="0"/>
    </xf>
    <xf numFmtId="0" fontId="11" fillId="8" borderId="26" xfId="0" applyFont="1" applyFill="1" applyBorder="1" applyAlignment="1" applyProtection="1">
      <alignment horizontal="center"/>
      <protection locked="0"/>
    </xf>
    <xf numFmtId="0" fontId="6" fillId="5" borderId="35" xfId="0" applyFont="1" applyFill="1" applyBorder="1" applyAlignment="1" applyProtection="1">
      <alignment horizontal="left"/>
    </xf>
    <xf numFmtId="0" fontId="6" fillId="5" borderId="25" xfId="0" applyFont="1" applyFill="1" applyBorder="1" applyAlignment="1" applyProtection="1">
      <alignment horizontal="left"/>
    </xf>
    <xf numFmtId="167" fontId="7" fillId="8" borderId="25" xfId="0" applyNumberFormat="1" applyFont="1" applyFill="1" applyBorder="1" applyAlignment="1" applyProtection="1">
      <alignment horizontal="center"/>
      <protection locked="0"/>
    </xf>
    <xf numFmtId="167" fontId="7" fillId="8" borderId="26" xfId="0" applyNumberFormat="1" applyFont="1" applyFill="1" applyBorder="1" applyAlignment="1" applyProtection="1">
      <alignment horizontal="center"/>
      <protection locked="0"/>
    </xf>
    <xf numFmtId="0" fontId="12" fillId="5" borderId="28" xfId="0" applyFont="1" applyFill="1" applyBorder="1" applyAlignment="1" applyProtection="1">
      <alignment horizontal="left" wrapText="1"/>
    </xf>
    <xf numFmtId="0" fontId="12" fillId="5" borderId="29" xfId="0" applyFont="1" applyFill="1" applyBorder="1" applyAlignment="1" applyProtection="1">
      <alignment horizontal="left" wrapText="1"/>
    </xf>
    <xf numFmtId="0" fontId="0" fillId="6" borderId="3" xfId="0" applyFont="1" applyFill="1" applyBorder="1" applyAlignment="1">
      <alignment horizontal="right" vertical="top"/>
    </xf>
    <xf numFmtId="0" fontId="6" fillId="4" borderId="30" xfId="0" applyFont="1" applyFill="1" applyBorder="1" applyAlignment="1" applyProtection="1">
      <alignment horizontal="left" vertical="center"/>
    </xf>
    <xf numFmtId="0" fontId="6" fillId="4" borderId="31" xfId="0" applyFont="1" applyFill="1" applyBorder="1" applyAlignment="1" applyProtection="1">
      <alignment horizontal="left" vertical="center"/>
    </xf>
    <xf numFmtId="0" fontId="6" fillId="4" borderId="37" xfId="0" applyFont="1" applyFill="1" applyBorder="1" applyAlignment="1" applyProtection="1">
      <alignment horizontal="left" vertical="center" wrapText="1"/>
    </xf>
    <xf numFmtId="0" fontId="6" fillId="4" borderId="38" xfId="0" applyFont="1" applyFill="1" applyBorder="1" applyAlignment="1" applyProtection="1">
      <alignment horizontal="left" vertical="center" wrapText="1"/>
    </xf>
    <xf numFmtId="0" fontId="6" fillId="4" borderId="54" xfId="0" applyFont="1" applyFill="1" applyBorder="1" applyAlignment="1" applyProtection="1">
      <alignment horizontal="left" vertical="center"/>
    </xf>
    <xf numFmtId="0" fontId="6" fillId="4" borderId="55" xfId="0" applyFont="1" applyFill="1" applyBorder="1" applyAlignment="1" applyProtection="1">
      <alignment horizontal="left" vertical="center"/>
    </xf>
    <xf numFmtId="0" fontId="6" fillId="5" borderId="2" xfId="0" applyFont="1" applyFill="1" applyBorder="1" applyAlignment="1" applyProtection="1">
      <alignment horizontal="center"/>
    </xf>
    <xf numFmtId="0" fontId="6" fillId="5" borderId="3" xfId="0" applyFont="1" applyFill="1" applyBorder="1" applyAlignment="1" applyProtection="1">
      <alignment horizontal="center"/>
    </xf>
    <xf numFmtId="0" fontId="6" fillId="5" borderId="4" xfId="0" applyFont="1" applyFill="1" applyBorder="1" applyAlignment="1" applyProtection="1">
      <alignment horizontal="center"/>
    </xf>
    <xf numFmtId="49" fontId="6" fillId="2" borderId="30" xfId="0" applyNumberFormat="1" applyFont="1" applyFill="1" applyBorder="1" applyAlignment="1" applyProtection="1">
      <alignment horizontal="center"/>
      <protection locked="0"/>
    </xf>
    <xf numFmtId="49" fontId="6" fillId="2" borderId="8" xfId="0" applyNumberFormat="1" applyFont="1" applyFill="1" applyBorder="1" applyAlignment="1" applyProtection="1">
      <alignment horizontal="center"/>
      <protection locked="0"/>
    </xf>
    <xf numFmtId="49" fontId="6" fillId="2" borderId="9" xfId="0" applyNumberFormat="1" applyFont="1" applyFill="1" applyBorder="1" applyAlignment="1" applyProtection="1">
      <alignment horizontal="center"/>
      <protection locked="0"/>
    </xf>
    <xf numFmtId="49" fontId="6" fillId="2" borderId="31" xfId="0" applyNumberFormat="1" applyFont="1" applyFill="1" applyBorder="1" applyAlignment="1" applyProtection="1">
      <alignment horizontal="center"/>
      <protection locked="0"/>
    </xf>
    <xf numFmtId="49" fontId="6" fillId="2" borderId="10" xfId="0" applyNumberFormat="1" applyFont="1" applyFill="1" applyBorder="1" applyAlignment="1" applyProtection="1">
      <alignment horizontal="center"/>
      <protection locked="0"/>
    </xf>
    <xf numFmtId="49" fontId="6" fillId="2" borderId="11" xfId="0" applyNumberFormat="1" applyFont="1" applyFill="1" applyBorder="1" applyAlignment="1" applyProtection="1">
      <alignment horizontal="center"/>
      <protection locked="0"/>
    </xf>
    <xf numFmtId="167" fontId="6" fillId="5" borderId="30" xfId="0" applyNumberFormat="1" applyFont="1" applyFill="1" applyBorder="1" applyAlignment="1" applyProtection="1">
      <alignment horizontal="left" vertical="top" wrapText="1"/>
    </xf>
    <xf numFmtId="167" fontId="6" fillId="5" borderId="8" xfId="0" applyNumberFormat="1" applyFont="1" applyFill="1" applyBorder="1" applyAlignment="1" applyProtection="1">
      <alignment horizontal="left" vertical="top" wrapText="1"/>
    </xf>
    <xf numFmtId="167" fontId="6" fillId="5" borderId="35" xfId="0" applyNumberFormat="1" applyFont="1" applyFill="1" applyBorder="1" applyAlignment="1" applyProtection="1">
      <alignment horizontal="left" vertical="top" wrapText="1"/>
    </xf>
    <xf numFmtId="167" fontId="6" fillId="5" borderId="25" xfId="0" applyNumberFormat="1" applyFont="1" applyFill="1" applyBorder="1" applyAlignment="1" applyProtection="1">
      <alignment horizontal="left" vertical="top" wrapText="1"/>
    </xf>
    <xf numFmtId="167" fontId="11" fillId="8" borderId="8" xfId="0" applyNumberFormat="1" applyFont="1" applyFill="1" applyBorder="1" applyAlignment="1" applyProtection="1">
      <alignment horizontal="center"/>
      <protection locked="0"/>
    </xf>
    <xf numFmtId="167" fontId="11" fillId="8" borderId="9" xfId="0" applyNumberFormat="1" applyFont="1" applyFill="1" applyBorder="1" applyAlignment="1" applyProtection="1">
      <alignment horizontal="center"/>
      <protection locked="0"/>
    </xf>
    <xf numFmtId="167" fontId="11" fillId="8" borderId="25" xfId="0" applyNumberFormat="1" applyFont="1" applyFill="1" applyBorder="1" applyAlignment="1" applyProtection="1">
      <alignment horizontal="center"/>
      <protection locked="0"/>
    </xf>
    <xf numFmtId="167" fontId="11" fillId="8" borderId="26" xfId="0" applyNumberFormat="1" applyFont="1" applyFill="1" applyBorder="1" applyAlignment="1" applyProtection="1">
      <alignment horizontal="center"/>
      <protection locked="0"/>
    </xf>
    <xf numFmtId="167" fontId="6" fillId="5" borderId="31" xfId="0" applyNumberFormat="1" applyFont="1" applyFill="1" applyBorder="1" applyAlignment="1" applyProtection="1">
      <alignment horizontal="left"/>
    </xf>
    <xf numFmtId="167" fontId="6" fillId="5" borderId="10" xfId="0" applyNumberFormat="1" applyFont="1" applyFill="1" applyBorder="1" applyAlignment="1" applyProtection="1">
      <alignment horizontal="left"/>
    </xf>
    <xf numFmtId="167" fontId="6" fillId="5" borderId="35" xfId="0" applyNumberFormat="1" applyFont="1" applyFill="1" applyBorder="1" applyAlignment="1" applyProtection="1">
      <alignment horizontal="left"/>
    </xf>
    <xf numFmtId="167" fontId="6" fillId="5" borderId="25" xfId="0" applyNumberFormat="1" applyFont="1" applyFill="1" applyBorder="1" applyAlignment="1" applyProtection="1">
      <alignment horizontal="left"/>
    </xf>
    <xf numFmtId="167" fontId="0" fillId="6" borderId="3" xfId="0" applyNumberFormat="1" applyFont="1" applyFill="1" applyBorder="1" applyAlignment="1">
      <alignment horizontal="right" vertical="top"/>
    </xf>
    <xf numFmtId="167" fontId="6" fillId="5" borderId="2" xfId="0" applyNumberFormat="1" applyFont="1" applyFill="1" applyBorder="1" applyAlignment="1" applyProtection="1">
      <alignment horizontal="center"/>
    </xf>
    <xf numFmtId="167" fontId="6" fillId="5" borderId="3" xfId="0" applyNumberFormat="1" applyFont="1" applyFill="1" applyBorder="1" applyAlignment="1" applyProtection="1">
      <alignment horizontal="center"/>
    </xf>
    <xf numFmtId="167" fontId="6" fillId="5" borderId="4" xfId="0" applyNumberFormat="1" applyFont="1" applyFill="1" applyBorder="1" applyAlignment="1" applyProtection="1">
      <alignment horizontal="center"/>
    </xf>
    <xf numFmtId="167" fontId="6" fillId="2" borderId="30" xfId="0" applyNumberFormat="1" applyFont="1" applyFill="1" applyBorder="1" applyAlignment="1" applyProtection="1">
      <alignment horizontal="center"/>
      <protection locked="0"/>
    </xf>
    <xf numFmtId="167" fontId="6" fillId="2" borderId="8" xfId="0" applyNumberFormat="1" applyFont="1" applyFill="1" applyBorder="1" applyAlignment="1" applyProtection="1">
      <alignment horizontal="center"/>
      <protection locked="0"/>
    </xf>
    <xf numFmtId="167" fontId="6" fillId="2" borderId="9" xfId="0" applyNumberFormat="1" applyFont="1" applyFill="1" applyBorder="1" applyAlignment="1" applyProtection="1">
      <alignment horizontal="center"/>
      <protection locked="0"/>
    </xf>
    <xf numFmtId="167" fontId="6" fillId="2" borderId="31" xfId="0" applyNumberFormat="1" applyFont="1" applyFill="1" applyBorder="1" applyAlignment="1" applyProtection="1">
      <alignment horizontal="center"/>
      <protection locked="0"/>
    </xf>
    <xf numFmtId="167" fontId="6" fillId="2" borderId="10" xfId="0" applyNumberFormat="1" applyFont="1" applyFill="1" applyBorder="1" applyAlignment="1" applyProtection="1">
      <alignment horizontal="center"/>
      <protection locked="0"/>
    </xf>
    <xf numFmtId="167" fontId="6" fillId="2" borderId="11" xfId="0" applyNumberFormat="1" applyFont="1" applyFill="1" applyBorder="1" applyAlignment="1" applyProtection="1">
      <alignment horizontal="center"/>
      <protection locked="0"/>
    </xf>
    <xf numFmtId="0" fontId="3" fillId="0" borderId="15" xfId="0" applyFont="1" applyBorder="1" applyAlignment="1">
      <alignment horizontal="left" wrapText="1"/>
    </xf>
    <xf numFmtId="0" fontId="3" fillId="0" borderId="16" xfId="0" applyFont="1" applyBorder="1" applyAlignment="1">
      <alignment horizontal="left" wrapText="1"/>
    </xf>
  </cellXfs>
  <cellStyles count="3">
    <cellStyle name="Hyperlink" xfId="1" builtinId="8"/>
    <cellStyle name="Normal" xfId="0" builtinId="0"/>
    <cellStyle name="Per cent" xfId="2" builtinId="5"/>
  </cellStyles>
  <dxfs count="499">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bgColor rgb="FFFF7C80"/>
        </patternFill>
      </fill>
    </dxf>
    <dxf>
      <fill>
        <patternFill>
          <bgColor rgb="FFFFCC66"/>
        </patternFill>
      </fill>
    </dxf>
    <dxf>
      <fill>
        <patternFill>
          <bgColor rgb="FF92D050"/>
        </patternFill>
      </fill>
    </dxf>
    <dxf>
      <fill>
        <patternFill>
          <bgColor rgb="FF00B050"/>
        </patternFill>
      </fill>
    </dxf>
    <dxf>
      <fill>
        <patternFill>
          <bgColor rgb="FFFF7C80"/>
        </patternFill>
      </fill>
    </dxf>
    <dxf>
      <fill>
        <patternFill>
          <bgColor rgb="FFFFCC66"/>
        </patternFill>
      </fill>
    </dxf>
    <dxf>
      <fill>
        <patternFill>
          <bgColor rgb="FF92D050"/>
        </patternFill>
      </fill>
    </dxf>
    <dxf>
      <fill>
        <patternFill>
          <bgColor rgb="FF00B050"/>
        </patternFill>
      </fill>
    </dxf>
    <dxf>
      <fill>
        <patternFill patternType="lightUp">
          <bgColor theme="0" tint="-0.24994659260841701"/>
        </patternFill>
      </fill>
    </dxf>
    <dxf>
      <fill>
        <patternFill patternType="lightUp">
          <bgColor theme="0" tint="-0.24994659260841701"/>
        </patternFill>
      </fill>
    </dxf>
    <dxf>
      <fill>
        <patternFill patternType="lightUp">
          <bgColor theme="0" tint="-0.24994659260841701"/>
        </patternFill>
      </fill>
    </dxf>
    <dxf>
      <fill>
        <patternFill patternType="lightDown">
          <bgColor theme="0" tint="-0.24994659260841701"/>
        </patternFill>
      </fill>
    </dxf>
    <dxf>
      <fill>
        <patternFill patternType="lightUp">
          <bgColor theme="0" tint="-0.24994659260841701"/>
        </patternFill>
      </fill>
    </dxf>
    <dxf>
      <fill>
        <patternFill patternType="lightUp">
          <bgColor theme="0" tint="-0.24994659260841701"/>
        </patternFill>
      </fill>
    </dxf>
    <dxf>
      <fill>
        <patternFill patternType="lightUp">
          <bgColor theme="0" tint="-0.24994659260841701"/>
        </patternFill>
      </fill>
    </dxf>
    <dxf>
      <fill>
        <patternFill patternType="lightUp">
          <bgColor theme="0" tint="-0.24994659260841701"/>
        </patternFill>
      </fill>
    </dxf>
    <dxf>
      <fill>
        <patternFill patternType="lightUp">
          <bgColor theme="0" tint="-0.24994659260841701"/>
        </patternFill>
      </fill>
    </dxf>
    <dxf>
      <fill>
        <patternFill patternType="lightUp">
          <bgColor theme="0" tint="-0.24994659260841701"/>
        </patternFill>
      </fill>
    </dxf>
    <dxf>
      <fill>
        <patternFill patternType="lightUp">
          <bgColor theme="0" tint="-0.24994659260841701"/>
        </patternFill>
      </fill>
    </dxf>
    <dxf>
      <fill>
        <patternFill patternType="lightUp">
          <bgColor theme="0" tint="-0.24994659260841701"/>
        </patternFill>
      </fill>
    </dxf>
  </dxfs>
  <tableStyles count="0" defaultTableStyle="TableStyleMedium2" defaultPivotStyle="PivotStyleLight16"/>
  <colors>
    <mruColors>
      <color rgb="FFFFCC66"/>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67410763530227E-2"/>
          <c:y val="7.968748496341499E-2"/>
          <c:w val="0.96327189391758439"/>
          <c:h val="0.78702541864525855"/>
        </c:manualLayout>
      </c:layout>
      <c:lineChart>
        <c:grouping val="standard"/>
        <c:varyColors val="0"/>
        <c:ser>
          <c:idx val="2"/>
          <c:order val="2"/>
          <c:tx>
            <c:strRef>
              <c:f>Progress!$B$12</c:f>
              <c:strCache>
                <c:ptCount val="1"/>
                <c:pt idx="0">
                  <c:v>A</c:v>
                </c:pt>
              </c:strCache>
            </c:strRef>
          </c:tx>
          <c:spPr>
            <a:ln w="31750" cap="rnd">
              <a:solidFill>
                <a:srgbClr val="00B0F0"/>
              </a:solidFill>
              <a:round/>
            </a:ln>
            <a:effectLst/>
          </c:spPr>
          <c:marker>
            <c:symbol val="none"/>
          </c:marker>
          <c:dLbls>
            <c:delete val="1"/>
          </c:dLbls>
          <c:cat>
            <c:strRef>
              <c:extLst>
                <c:ext xmlns:c15="http://schemas.microsoft.com/office/drawing/2012/chart" uri="{02D57815-91ED-43cb-92C2-25804820EDAC}">
                  <c15:fullRef>
                    <c15:sqref>Progress!$C$9:$AG$9</c15:sqref>
                  </c15:fullRef>
                </c:ext>
              </c:extLst>
              <c:f>(Progress!$C$9,Progress!$H$9,Progress!$M$9,Progress!$R$9,Progress!$W$9,Progress!$AB$9,Progress!$AG$9)</c:f>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Progress!$C$12:$AG$12</c15:sqref>
                  </c15:fullRef>
                </c:ext>
              </c:extLst>
              <c:f>(Progress!$C$12,Progress!$H$12,Progress!$M$12,Progress!$R$12,Progress!$W$12,Progress!$AB$12,Progress!$AG$12)</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0-9070-4DC4-B9B0-94741C15A41D}"/>
            </c:ext>
          </c:extLst>
        </c:ser>
        <c:ser>
          <c:idx val="6"/>
          <c:order val="6"/>
          <c:tx>
            <c:strRef>
              <c:f>Progress!$B$16</c:f>
              <c:strCache>
                <c:ptCount val="1"/>
                <c:pt idx="0">
                  <c:v>B</c:v>
                </c:pt>
              </c:strCache>
            </c:strRef>
          </c:tx>
          <c:spPr>
            <a:ln w="31750" cap="rnd">
              <a:solidFill>
                <a:srgbClr val="0070C0"/>
              </a:solidFill>
              <a:round/>
            </a:ln>
            <a:effectLst/>
          </c:spPr>
          <c:marker>
            <c:symbol val="none"/>
          </c:marker>
          <c:dLbls>
            <c:delete val="1"/>
          </c:dLbls>
          <c:cat>
            <c:strRef>
              <c:extLst>
                <c:ext xmlns:c15="http://schemas.microsoft.com/office/drawing/2012/chart" uri="{02D57815-91ED-43cb-92C2-25804820EDAC}">
                  <c15:fullRef>
                    <c15:sqref>Progress!$C$9:$AG$9</c15:sqref>
                  </c15:fullRef>
                </c:ext>
              </c:extLst>
              <c:f>(Progress!$C$9,Progress!$H$9,Progress!$M$9,Progress!$R$9,Progress!$W$9,Progress!$AB$9,Progress!$AG$9)</c:f>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Progress!$C$16:$AG$16</c15:sqref>
                  </c15:fullRef>
                </c:ext>
              </c:extLst>
              <c:f>(Progress!$C$16,Progress!$H$16,Progress!$M$16,Progress!$R$16,Progress!$W$16,Progress!$AB$16,Progress!$AG$16)</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1-9070-4DC4-B9B0-94741C15A41D}"/>
            </c:ext>
          </c:extLst>
        </c:ser>
        <c:ser>
          <c:idx val="11"/>
          <c:order val="11"/>
          <c:tx>
            <c:strRef>
              <c:f>Progress!$B$21</c:f>
              <c:strCache>
                <c:ptCount val="1"/>
                <c:pt idx="0">
                  <c:v>C</c:v>
                </c:pt>
              </c:strCache>
            </c:strRef>
          </c:tx>
          <c:spPr>
            <a:ln w="31750" cap="rnd">
              <a:solidFill>
                <a:srgbClr val="002060"/>
              </a:solidFill>
              <a:round/>
            </a:ln>
            <a:effectLst/>
          </c:spPr>
          <c:marker>
            <c:symbol val="none"/>
          </c:marker>
          <c:dLbls>
            <c:delete val="1"/>
          </c:dLbls>
          <c:cat>
            <c:strRef>
              <c:extLst>
                <c:ext xmlns:c15="http://schemas.microsoft.com/office/drawing/2012/chart" uri="{02D57815-91ED-43cb-92C2-25804820EDAC}">
                  <c15:fullRef>
                    <c15:sqref>Progress!$C$9:$AG$9</c15:sqref>
                  </c15:fullRef>
                </c:ext>
              </c:extLst>
              <c:f>(Progress!$C$9,Progress!$H$9,Progress!$M$9,Progress!$R$9,Progress!$W$9,Progress!$AB$9,Progress!$AG$9)</c:f>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Progress!$C$21:$AG$21</c15:sqref>
                  </c15:fullRef>
                </c:ext>
              </c:extLst>
              <c:f>(Progress!$C$21,Progress!$H$21,Progress!$M$21,Progress!$R$21,Progress!$W$21,Progress!$AB$21,Progress!$AG$21)</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9070-4DC4-B9B0-94741C15A41D}"/>
            </c:ext>
          </c:extLst>
        </c:ser>
        <c:ser>
          <c:idx val="15"/>
          <c:order val="15"/>
          <c:tx>
            <c:strRef>
              <c:f>Progress!$B$25</c:f>
              <c:strCache>
                <c:ptCount val="1"/>
                <c:pt idx="0">
                  <c:v>D</c:v>
                </c:pt>
              </c:strCache>
            </c:strRef>
          </c:tx>
          <c:spPr>
            <a:ln w="31750" cap="rnd">
              <a:solidFill>
                <a:srgbClr val="7030A0"/>
              </a:solidFill>
              <a:round/>
            </a:ln>
            <a:effectLst/>
          </c:spPr>
          <c:marker>
            <c:symbol val="none"/>
          </c:marker>
          <c:dLbls>
            <c:delete val="1"/>
          </c:dLbls>
          <c:cat>
            <c:strRef>
              <c:extLst>
                <c:ext xmlns:c15="http://schemas.microsoft.com/office/drawing/2012/chart" uri="{02D57815-91ED-43cb-92C2-25804820EDAC}">
                  <c15:fullRef>
                    <c15:sqref>Progress!$C$9:$AG$9</c15:sqref>
                  </c15:fullRef>
                </c:ext>
              </c:extLst>
              <c:f>(Progress!$C$9,Progress!$H$9,Progress!$M$9,Progress!$R$9,Progress!$W$9,Progress!$AB$9,Progress!$AG$9)</c:f>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Progress!$C$25:$AG$25</c15:sqref>
                  </c15:fullRef>
                </c:ext>
              </c:extLst>
              <c:f>(Progress!$C$25,Progress!$H$25,Progress!$M$25,Progress!$R$25,Progress!$W$25,Progress!$AB$25,Progress!$AG$25)</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3-9070-4DC4-B9B0-94741C15A41D}"/>
            </c:ext>
          </c:extLst>
        </c:ser>
        <c:ser>
          <c:idx val="21"/>
          <c:order val="21"/>
          <c:tx>
            <c:strRef>
              <c:f>Progress!$B$31</c:f>
              <c:strCache>
                <c:ptCount val="1"/>
                <c:pt idx="0">
                  <c:v>E</c:v>
                </c:pt>
              </c:strCache>
            </c:strRef>
          </c:tx>
          <c:spPr>
            <a:ln w="31750" cap="rnd">
              <a:solidFill>
                <a:srgbClr val="00B050"/>
              </a:solidFill>
              <a:round/>
            </a:ln>
            <a:effectLst/>
          </c:spPr>
          <c:marker>
            <c:symbol val="none"/>
          </c:marker>
          <c:dLbls>
            <c:delete val="1"/>
          </c:dLbls>
          <c:cat>
            <c:strRef>
              <c:extLst>
                <c:ext xmlns:c15="http://schemas.microsoft.com/office/drawing/2012/chart" uri="{02D57815-91ED-43cb-92C2-25804820EDAC}">
                  <c15:fullRef>
                    <c15:sqref>Progress!$C$9:$AG$9</c15:sqref>
                  </c15:fullRef>
                </c:ext>
              </c:extLst>
              <c:f>(Progress!$C$9,Progress!$H$9,Progress!$M$9,Progress!$R$9,Progress!$W$9,Progress!$AB$9,Progress!$AG$9)</c:f>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Progress!$C$31:$AG$31</c15:sqref>
                  </c15:fullRef>
                </c:ext>
              </c:extLst>
              <c:f>(Progress!$C$31,Progress!$H$31,Progress!$M$31,Progress!$R$31,Progress!$W$31,Progress!$AB$31,Progress!$AG$31)</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4-9070-4DC4-B9B0-94741C15A41D}"/>
            </c:ext>
          </c:extLst>
        </c:ser>
        <c:ser>
          <c:idx val="22"/>
          <c:order val="22"/>
          <c:tx>
            <c:strRef>
              <c:f>Progress!$B$32</c:f>
              <c:strCache>
                <c:ptCount val="1"/>
                <c:pt idx="0">
                  <c:v>Ideal Development Trajectory</c:v>
                </c:pt>
              </c:strCache>
            </c:strRef>
          </c:tx>
          <c:spPr>
            <a:ln w="31750" cap="rnd">
              <a:solidFill>
                <a:schemeClr val="bg2">
                  <a:lumMod val="50000"/>
                </a:schemeClr>
              </a:solidFill>
              <a:round/>
            </a:ln>
            <a:effectLst/>
          </c:spPr>
          <c:marker>
            <c:symbol val="none"/>
          </c:marker>
          <c:dLbls>
            <c:delete val="1"/>
          </c:dLbls>
          <c:cat>
            <c:strRef>
              <c:extLst>
                <c:ext xmlns:c15="http://schemas.microsoft.com/office/drawing/2012/chart" uri="{02D57815-91ED-43cb-92C2-25804820EDAC}">
                  <c15:fullRef>
                    <c15:sqref>Progress!$C$9:$AG$9</c15:sqref>
                  </c15:fullRef>
                </c:ext>
              </c:extLst>
              <c:f>(Progress!$C$9,Progress!$H$9,Progress!$M$9,Progress!$R$9,Progress!$W$9,Progress!$AB$9,Progress!$AG$9)</c:f>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Progress!$C$32:$AG$32</c15:sqref>
                  </c15:fullRef>
                </c:ext>
              </c:extLst>
              <c:f>(Progress!$C$32,Progress!$H$32,Progress!$M$32,Progress!$R$32,Progress!$W$32,Progress!$AB$32,Progress!$AG$32)</c:f>
              <c:numCache>
                <c:formatCode>General</c:formatCode>
                <c:ptCount val="7"/>
                <c:pt idx="0">
                  <c:v>0</c:v>
                </c:pt>
                <c:pt idx="1">
                  <c:v>0.8</c:v>
                </c:pt>
                <c:pt idx="2">
                  <c:v>1.5</c:v>
                </c:pt>
                <c:pt idx="3">
                  <c:v>2</c:v>
                </c:pt>
                <c:pt idx="4">
                  <c:v>2.4</c:v>
                </c:pt>
                <c:pt idx="5">
                  <c:v>2.7</c:v>
                </c:pt>
                <c:pt idx="6">
                  <c:v>2.9</c:v>
                </c:pt>
              </c:numCache>
            </c:numRef>
          </c:val>
          <c:smooth val="0"/>
          <c:extLst>
            <c:ext xmlns:c16="http://schemas.microsoft.com/office/drawing/2014/chart" uri="{C3380CC4-5D6E-409C-BE32-E72D297353CC}">
              <c16:uniqueId val="{00000005-9070-4DC4-B9B0-94741C15A41D}"/>
            </c:ext>
          </c:extLst>
        </c:ser>
        <c:dLbls>
          <c:dLblPos val="ctr"/>
          <c:showLegendKey val="0"/>
          <c:showVal val="1"/>
          <c:showCatName val="0"/>
          <c:showSerName val="0"/>
          <c:showPercent val="0"/>
          <c:showBubbleSize val="0"/>
        </c:dLbls>
        <c:smooth val="0"/>
        <c:axId val="215390016"/>
        <c:axId val="215390408"/>
        <c:extLst>
          <c:ext xmlns:c15="http://schemas.microsoft.com/office/drawing/2012/chart" uri="{02D57815-91ED-43cb-92C2-25804820EDAC}">
            <c15:filteredLineSeries>
              <c15:ser>
                <c:idx val="0"/>
                <c:order val="0"/>
                <c:tx>
                  <c:strRef>
                    <c:extLst>
                      <c:ext uri="{02D57815-91ED-43cb-92C2-25804820EDAC}">
                        <c15:formulaRef>
                          <c15:sqref>Progress!$B$10</c15:sqref>
                        </c15:formulaRef>
                      </c:ext>
                    </c:extLst>
                    <c:strCache>
                      <c:ptCount val="1"/>
                      <c:pt idx="0">
                        <c:v>A1</c:v>
                      </c:pt>
                    </c:strCache>
                  </c:strRef>
                </c:tx>
                <c:spPr>
                  <a:ln w="31750"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uri="{CE6537A1-D6FC-4f65-9D91-7224C49458BB}">
                      <c15:showLeaderLines val="1"/>
                      <c15:leaderLines>
                        <c:spPr>
                          <a:ln w="9525">
                            <a:solidFill>
                              <a:schemeClr val="dk1">
                                <a:lumMod val="50000"/>
                                <a:lumOff val="50000"/>
                              </a:schemeClr>
                            </a:solidFill>
                          </a:ln>
                          <a:effectLst/>
                        </c:spPr>
                      </c15:leaderLines>
                    </c:ext>
                  </c:extLst>
                </c:dLbls>
                <c:cat>
                  <c:strRef>
                    <c:extLst>
                      <c:ex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uri="{02D57815-91ED-43cb-92C2-25804820EDAC}">
                        <c15:fullRef>
                          <c15:sqref>Progress!$C$10:$AG$10</c15:sqref>
                        </c15:fullRef>
                        <c15:formulaRef>
                          <c15:sqref>(Progress!$C$10,Progress!$H$10,Progress!$M$10,Progress!$R$10,Progress!$W$10,Progress!$AB$10,Progress!$AG$10)</c15:sqref>
                        </c15:formulaRef>
                      </c:ext>
                    </c:extLst>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6-9070-4DC4-B9B0-94741C15A41D}"/>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Progress!$B$11</c15:sqref>
                        </c15:formulaRef>
                      </c:ext>
                    </c:extLst>
                    <c:strCache>
                      <c:ptCount val="1"/>
                      <c:pt idx="0">
                        <c:v>A2</c:v>
                      </c:pt>
                    </c:strCache>
                  </c:strRef>
                </c:tx>
                <c:spPr>
                  <a:ln w="31750"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Progress!$C$11:$AG$11</c15:sqref>
                        </c15:fullRef>
                        <c15:formulaRef>
                          <c15:sqref>(Progress!$C$11,Progress!$H$11,Progress!$M$11,Progress!$R$11,Progress!$W$11,Progress!$AB$11,Progress!$AG$11)</c15:sqref>
                        </c15:formulaRef>
                      </c:ext>
                    </c:extLst>
                    <c:numCache>
                      <c:formatCode>General</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07-9070-4DC4-B9B0-94741C15A41D}"/>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Progress!$B$13</c15:sqref>
                        </c15:formulaRef>
                      </c:ext>
                    </c:extLst>
                    <c:strCache>
                      <c:ptCount val="1"/>
                      <c:pt idx="0">
                        <c:v>B1</c:v>
                      </c:pt>
                    </c:strCache>
                  </c:strRef>
                </c:tx>
                <c:spPr>
                  <a:ln w="31750" cap="rnd">
                    <a:solidFill>
                      <a:schemeClr val="accent4"/>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Progress!$C$13:$AG$13</c15:sqref>
                        </c15:fullRef>
                        <c15:formulaRef>
                          <c15:sqref>(Progress!$C$13,Progress!$H$13,Progress!$M$13,Progress!$R$13,Progress!$W$13,Progress!$AB$13,Progress!$AG$13)</c15:sqref>
                        </c15:formulaRef>
                      </c:ext>
                    </c:extLst>
                    <c:numCache>
                      <c:formatCode>General</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08-9070-4DC4-B9B0-94741C15A41D}"/>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Progress!$B$14</c15:sqref>
                        </c15:formulaRef>
                      </c:ext>
                    </c:extLst>
                    <c:strCache>
                      <c:ptCount val="1"/>
                      <c:pt idx="0">
                        <c:v>B2</c:v>
                      </c:pt>
                    </c:strCache>
                  </c:strRef>
                </c:tx>
                <c:spPr>
                  <a:ln w="31750"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Progress!$C$14:$AG$14</c15:sqref>
                        </c15:fullRef>
                        <c15:formulaRef>
                          <c15:sqref>(Progress!$C$14,Progress!$H$14,Progress!$M$14,Progress!$R$14,Progress!$W$14,Progress!$AB$14,Progress!$AG$14)</c15:sqref>
                        </c15:formulaRef>
                      </c:ext>
                    </c:extLst>
                    <c:numCache>
                      <c:formatCode>General</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09-9070-4DC4-B9B0-94741C15A41D}"/>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Progress!$B$15</c15:sqref>
                        </c15:formulaRef>
                      </c:ext>
                    </c:extLst>
                    <c:strCache>
                      <c:ptCount val="1"/>
                      <c:pt idx="0">
                        <c:v>B3</c:v>
                      </c:pt>
                    </c:strCache>
                  </c:strRef>
                </c:tx>
                <c:spPr>
                  <a:ln w="31750" cap="rnd">
                    <a:solidFill>
                      <a:schemeClr val="accent6"/>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Progress!$C$15:$AG$15</c15:sqref>
                        </c15:fullRef>
                        <c15:formulaRef>
                          <c15:sqref>(Progress!$C$15,Progress!$H$15,Progress!$M$15,Progress!$R$15,Progress!$W$15,Progress!$AB$15,Progress!$AG$15)</c15:sqref>
                        </c15:formulaRef>
                      </c:ext>
                    </c:extLst>
                    <c:numCache>
                      <c:formatCode>General</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0A-9070-4DC4-B9B0-94741C15A41D}"/>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Progress!$B$17</c15:sqref>
                        </c15:formulaRef>
                      </c:ext>
                    </c:extLst>
                    <c:strCache>
                      <c:ptCount val="1"/>
                      <c:pt idx="0">
                        <c:v>C1</c:v>
                      </c:pt>
                    </c:strCache>
                  </c:strRef>
                </c:tx>
                <c:spPr>
                  <a:ln w="31750" cap="rnd">
                    <a:solidFill>
                      <a:schemeClr val="accent2">
                        <a:lumMod val="6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Progress!$C$17:$AG$17</c15:sqref>
                        </c15:fullRef>
                        <c15:formulaRef>
                          <c15:sqref>(Progress!$C$17,Progress!$H$17,Progress!$M$17,Progress!$R$17,Progress!$W$17,Progress!$AB$17,Progress!$AG$17)</c15:sqref>
                        </c15:formulaRef>
                      </c:ext>
                    </c:extLst>
                    <c:numCache>
                      <c:formatCode>General</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0B-9070-4DC4-B9B0-94741C15A41D}"/>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Progress!$B$18</c15:sqref>
                        </c15:formulaRef>
                      </c:ext>
                    </c:extLst>
                    <c:strCache>
                      <c:ptCount val="1"/>
                      <c:pt idx="0">
                        <c:v>C2</c:v>
                      </c:pt>
                    </c:strCache>
                  </c:strRef>
                </c:tx>
                <c:spPr>
                  <a:ln w="31750" cap="rnd">
                    <a:solidFill>
                      <a:schemeClr val="accent3">
                        <a:lumMod val="6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Progress!$C$18:$AG$18</c15:sqref>
                        </c15:fullRef>
                        <c15:formulaRef>
                          <c15:sqref>(Progress!$C$18,Progress!$H$18,Progress!$M$18,Progress!$R$18,Progress!$W$18,Progress!$AB$18,Progress!$AG$18)</c15:sqref>
                        </c15:formulaRef>
                      </c:ext>
                    </c:extLst>
                    <c:numCache>
                      <c:formatCode>General</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0C-9070-4DC4-B9B0-94741C15A41D}"/>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Progress!$B$19</c15:sqref>
                        </c15:formulaRef>
                      </c:ext>
                    </c:extLst>
                    <c:strCache>
                      <c:ptCount val="1"/>
                      <c:pt idx="0">
                        <c:v>C3</c:v>
                      </c:pt>
                    </c:strCache>
                  </c:strRef>
                </c:tx>
                <c:spPr>
                  <a:ln w="31750" cap="rnd">
                    <a:solidFill>
                      <a:schemeClr val="accent4">
                        <a:lumMod val="6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Progress!$C$19:$AG$19</c15:sqref>
                        </c15:fullRef>
                        <c15:formulaRef>
                          <c15:sqref>(Progress!$C$19,Progress!$H$19,Progress!$M$19,Progress!$R$19,Progress!$W$19,Progress!$AB$19,Progress!$AG$19)</c15:sqref>
                        </c15:formulaRef>
                      </c:ext>
                    </c:extLst>
                    <c:numCache>
                      <c:formatCode>General</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0D-9070-4DC4-B9B0-94741C15A41D}"/>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Progress!$B$20</c15:sqref>
                        </c15:formulaRef>
                      </c:ext>
                    </c:extLst>
                    <c:strCache>
                      <c:ptCount val="1"/>
                      <c:pt idx="0">
                        <c:v>C4</c:v>
                      </c:pt>
                    </c:strCache>
                  </c:strRef>
                </c:tx>
                <c:spPr>
                  <a:ln w="31750" cap="rnd">
                    <a:solidFill>
                      <a:schemeClr val="accent5">
                        <a:lumMod val="6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Progress!$C$20:$AG$20</c15:sqref>
                        </c15:fullRef>
                        <c15:formulaRef>
                          <c15:sqref>(Progress!$C$20,Progress!$H$20,Progress!$M$20,Progress!$R$20,Progress!$W$20,Progress!$AB$20,Progress!$AG$20)</c15:sqref>
                        </c15:formulaRef>
                      </c:ext>
                    </c:extLst>
                    <c:numCache>
                      <c:formatCode>General</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0E-9070-4DC4-B9B0-94741C15A41D}"/>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Progress!$B$22</c15:sqref>
                        </c15:formulaRef>
                      </c:ext>
                    </c:extLst>
                    <c:strCache>
                      <c:ptCount val="1"/>
                      <c:pt idx="0">
                        <c:v>D1</c:v>
                      </c:pt>
                    </c:strCache>
                  </c:strRef>
                </c:tx>
                <c:spPr>
                  <a:ln w="31750" cap="rnd">
                    <a:solidFill>
                      <a:schemeClr val="accent1">
                        <a:lumMod val="80000"/>
                        <a:lumOff val="2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Progress!$C$22:$AG$22</c15:sqref>
                        </c15:fullRef>
                        <c15:formulaRef>
                          <c15:sqref>(Progress!$C$22,Progress!$H$22,Progress!$M$22,Progress!$R$22,Progress!$W$22,Progress!$AB$22,Progress!$AG$22)</c15:sqref>
                        </c15:formulaRef>
                      </c:ext>
                    </c:extLst>
                    <c:numCache>
                      <c:formatCode>General</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0F-9070-4DC4-B9B0-94741C15A41D}"/>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Progress!$B$23</c15:sqref>
                        </c15:formulaRef>
                      </c:ext>
                    </c:extLst>
                    <c:strCache>
                      <c:ptCount val="1"/>
                      <c:pt idx="0">
                        <c:v>D2</c:v>
                      </c:pt>
                    </c:strCache>
                  </c:strRef>
                </c:tx>
                <c:spPr>
                  <a:ln w="31750" cap="rnd">
                    <a:solidFill>
                      <a:schemeClr val="accent2">
                        <a:lumMod val="80000"/>
                        <a:lumOff val="2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Progress!$C$23:$AG$23</c15:sqref>
                        </c15:fullRef>
                        <c15:formulaRef>
                          <c15:sqref>(Progress!$C$23,Progress!$H$23,Progress!$M$23,Progress!$R$23,Progress!$W$23,Progress!$AB$23,Progress!$AG$23)</c15:sqref>
                        </c15:formulaRef>
                      </c:ext>
                    </c:extLst>
                    <c:numCache>
                      <c:formatCode>General</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10-9070-4DC4-B9B0-94741C15A41D}"/>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Progress!$B$24</c15:sqref>
                        </c15:formulaRef>
                      </c:ext>
                    </c:extLst>
                    <c:strCache>
                      <c:ptCount val="1"/>
                      <c:pt idx="0">
                        <c:v>D3</c:v>
                      </c:pt>
                    </c:strCache>
                  </c:strRef>
                </c:tx>
                <c:spPr>
                  <a:ln w="31750" cap="rnd">
                    <a:solidFill>
                      <a:schemeClr val="accent3">
                        <a:lumMod val="80000"/>
                        <a:lumOff val="2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Progress!$C$24:$AG$24</c15:sqref>
                        </c15:fullRef>
                        <c15:formulaRef>
                          <c15:sqref>(Progress!$C$24,Progress!$H$24,Progress!$M$24,Progress!$R$24,Progress!$W$24,Progress!$AB$24,Progress!$AG$24)</c15:sqref>
                        </c15:formulaRef>
                      </c:ext>
                    </c:extLst>
                    <c:numCache>
                      <c:formatCode>General</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11-9070-4DC4-B9B0-94741C15A41D}"/>
                  </c:ext>
                </c:extLst>
              </c15:ser>
            </c15:filteredLineSeries>
            <c15:filteredLineSeries>
              <c15:ser>
                <c:idx val="16"/>
                <c:order val="16"/>
                <c:tx>
                  <c:strRef>
                    <c:extLst xmlns:c15="http://schemas.microsoft.com/office/drawing/2012/chart">
                      <c:ext xmlns:c15="http://schemas.microsoft.com/office/drawing/2012/chart" uri="{02D57815-91ED-43cb-92C2-25804820EDAC}">
                        <c15:formulaRef>
                          <c15:sqref>Progress!$B$26</c15:sqref>
                        </c15:formulaRef>
                      </c:ext>
                    </c:extLst>
                    <c:strCache>
                      <c:ptCount val="1"/>
                      <c:pt idx="0">
                        <c:v>E1</c:v>
                      </c:pt>
                    </c:strCache>
                  </c:strRef>
                </c:tx>
                <c:spPr>
                  <a:ln w="31750" cap="rnd">
                    <a:solidFill>
                      <a:schemeClr val="accent5">
                        <a:lumMod val="80000"/>
                        <a:lumOff val="2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Progress!$C$26:$AG$26</c15:sqref>
                        </c15:fullRef>
                        <c15:formulaRef>
                          <c15:sqref>(Progress!$C$26,Progress!$H$26,Progress!$M$26,Progress!$R$26,Progress!$W$26,Progress!$AB$26,Progress!$AG$26)</c15:sqref>
                        </c15:formulaRef>
                      </c:ext>
                    </c:extLst>
                    <c:numCache>
                      <c:formatCode>General</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12-9070-4DC4-B9B0-94741C15A41D}"/>
                  </c:ext>
                </c:extLst>
              </c15:ser>
            </c15:filteredLineSeries>
            <c15:filteredLineSeries>
              <c15:ser>
                <c:idx val="17"/>
                <c:order val="17"/>
                <c:tx>
                  <c:strRef>
                    <c:extLst xmlns:c15="http://schemas.microsoft.com/office/drawing/2012/chart">
                      <c:ext xmlns:c15="http://schemas.microsoft.com/office/drawing/2012/chart" uri="{02D57815-91ED-43cb-92C2-25804820EDAC}">
                        <c15:formulaRef>
                          <c15:sqref>Progress!$B$27</c15:sqref>
                        </c15:formulaRef>
                      </c:ext>
                    </c:extLst>
                    <c:strCache>
                      <c:ptCount val="1"/>
                      <c:pt idx="0">
                        <c:v>E2</c:v>
                      </c:pt>
                    </c:strCache>
                  </c:strRef>
                </c:tx>
                <c:spPr>
                  <a:ln w="31750" cap="rnd">
                    <a:solidFill>
                      <a:schemeClr val="accent6">
                        <a:lumMod val="80000"/>
                        <a:lumOff val="2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Progress!$C$27:$AG$27</c15:sqref>
                        </c15:fullRef>
                        <c15:formulaRef>
                          <c15:sqref>(Progress!$C$27,Progress!$H$27,Progress!$M$27,Progress!$R$27,Progress!$W$27,Progress!$AB$27,Progress!$AG$27)</c15:sqref>
                        </c15:formulaRef>
                      </c:ext>
                    </c:extLst>
                    <c:numCache>
                      <c:formatCode>General</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13-9070-4DC4-B9B0-94741C15A41D}"/>
                  </c:ext>
                </c:extLst>
              </c15:ser>
            </c15:filteredLineSeries>
            <c15:filteredLineSeries>
              <c15:ser>
                <c:idx val="18"/>
                <c:order val="18"/>
                <c:tx>
                  <c:strRef>
                    <c:extLst xmlns:c15="http://schemas.microsoft.com/office/drawing/2012/chart">
                      <c:ext xmlns:c15="http://schemas.microsoft.com/office/drawing/2012/chart" uri="{02D57815-91ED-43cb-92C2-25804820EDAC}">
                        <c15:formulaRef>
                          <c15:sqref>Progress!$B$28</c15:sqref>
                        </c15:formulaRef>
                      </c:ext>
                    </c:extLst>
                    <c:strCache>
                      <c:ptCount val="1"/>
                      <c:pt idx="0">
                        <c:v>E3</c:v>
                      </c:pt>
                    </c:strCache>
                  </c:strRef>
                </c:tx>
                <c:spPr>
                  <a:ln w="31750" cap="rnd">
                    <a:solidFill>
                      <a:schemeClr val="accent1">
                        <a:lumMod val="8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Progress!$C$28:$AG$28</c15:sqref>
                        </c15:fullRef>
                        <c15:formulaRef>
                          <c15:sqref>(Progress!$C$28,Progress!$H$28,Progress!$M$28,Progress!$R$28,Progress!$W$28,Progress!$AB$28,Progress!$AG$28)</c15:sqref>
                        </c15:formulaRef>
                      </c:ext>
                    </c:extLst>
                    <c:numCache>
                      <c:formatCode>General</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14-9070-4DC4-B9B0-94741C15A41D}"/>
                  </c:ext>
                </c:extLst>
              </c15:ser>
            </c15:filteredLineSeries>
            <c15:filteredLineSeries>
              <c15:ser>
                <c:idx val="19"/>
                <c:order val="19"/>
                <c:tx>
                  <c:strRef>
                    <c:extLst xmlns:c15="http://schemas.microsoft.com/office/drawing/2012/chart">
                      <c:ext xmlns:c15="http://schemas.microsoft.com/office/drawing/2012/chart" uri="{02D57815-91ED-43cb-92C2-25804820EDAC}">
                        <c15:formulaRef>
                          <c15:sqref>Progress!$B$29</c15:sqref>
                        </c15:formulaRef>
                      </c:ext>
                    </c:extLst>
                    <c:strCache>
                      <c:ptCount val="1"/>
                      <c:pt idx="0">
                        <c:v>E4</c:v>
                      </c:pt>
                    </c:strCache>
                  </c:strRef>
                </c:tx>
                <c:spPr>
                  <a:ln w="31750" cap="rnd">
                    <a:solidFill>
                      <a:schemeClr val="accent2">
                        <a:lumMod val="8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Progress!$C$29:$AG$29</c15:sqref>
                        </c15:fullRef>
                        <c15:formulaRef>
                          <c15:sqref>(Progress!$C$29,Progress!$H$29,Progress!$M$29,Progress!$R$29,Progress!$W$29,Progress!$AB$29,Progress!$AG$29)</c15:sqref>
                        </c15:formulaRef>
                      </c:ext>
                    </c:extLst>
                    <c:numCache>
                      <c:formatCode>General</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15-9070-4DC4-B9B0-94741C15A41D}"/>
                  </c:ext>
                </c:extLst>
              </c15:ser>
            </c15:filteredLineSeries>
            <c15:filteredLineSeries>
              <c15:ser>
                <c:idx val="20"/>
                <c:order val="20"/>
                <c:tx>
                  <c:strRef>
                    <c:extLst xmlns:c15="http://schemas.microsoft.com/office/drawing/2012/chart">
                      <c:ext xmlns:c15="http://schemas.microsoft.com/office/drawing/2012/chart" uri="{02D57815-91ED-43cb-92C2-25804820EDAC}">
                        <c15:formulaRef>
                          <c15:sqref>Progress!$B$30</c15:sqref>
                        </c15:formulaRef>
                      </c:ext>
                    </c:extLst>
                    <c:strCache>
                      <c:ptCount val="1"/>
                      <c:pt idx="0">
                        <c:v>E5</c:v>
                      </c:pt>
                    </c:strCache>
                  </c:strRef>
                </c:tx>
                <c:spPr>
                  <a:ln w="31750" cap="rnd">
                    <a:solidFill>
                      <a:schemeClr val="accent3">
                        <a:lumMod val="8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Progress!$C$30:$AG$30</c15:sqref>
                        </c15:fullRef>
                        <c15:formulaRef>
                          <c15:sqref>(Progress!$C$30,Progress!$H$30,Progress!$M$30,Progress!$R$30,Progress!$W$30,Progress!$AB$30,Progress!$AG$30)</c15:sqref>
                        </c15:formulaRef>
                      </c:ext>
                    </c:extLst>
                    <c:numCache>
                      <c:formatCode>General</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16-9070-4DC4-B9B0-94741C15A41D}"/>
                  </c:ext>
                </c:extLst>
              </c15:ser>
            </c15:filteredLineSeries>
          </c:ext>
        </c:extLst>
      </c:lineChart>
      <c:catAx>
        <c:axId val="215390016"/>
        <c:scaling>
          <c:orientation val="minMax"/>
        </c:scaling>
        <c:delete val="0"/>
        <c:axPos val="b"/>
        <c:numFmt formatCode="General" sourceLinked="1"/>
        <c:majorTickMark val="out"/>
        <c:minorTickMark val="none"/>
        <c:tickLblPos val="nextTo"/>
        <c:spPr>
          <a:noFill/>
          <a:ln w="15875" cap="flat" cmpd="sng" algn="ctr">
            <a:solidFill>
              <a:schemeClr val="tx1"/>
            </a:solidFill>
            <a:round/>
          </a:ln>
          <a:effectLst/>
        </c:spPr>
        <c:txPr>
          <a:bodyPr rot="-60000000" spcFirstLastPara="1" vertOverflow="ellipsis" vert="horz" wrap="square" anchor="ctr" anchorCtr="1"/>
          <a:lstStyle/>
          <a:p>
            <a:pPr>
              <a:defRPr sz="1600" b="1" i="0" u="none" strike="noStrike" kern="1200" cap="all" baseline="0">
                <a:solidFill>
                  <a:schemeClr val="dk1">
                    <a:lumMod val="75000"/>
                    <a:lumOff val="25000"/>
                  </a:schemeClr>
                </a:solidFill>
                <a:latin typeface="+mn-lt"/>
                <a:ea typeface="+mn-ea"/>
                <a:cs typeface="+mn-cs"/>
              </a:defRPr>
            </a:pPr>
            <a:endParaRPr lang="en-US"/>
          </a:p>
        </c:txPr>
        <c:crossAx val="215390408"/>
        <c:crosses val="autoZero"/>
        <c:auto val="1"/>
        <c:lblAlgn val="ctr"/>
        <c:lblOffset val="100"/>
        <c:noMultiLvlLbl val="0"/>
      </c:catAx>
      <c:valAx>
        <c:axId val="215390408"/>
        <c:scaling>
          <c:orientation val="minMax"/>
          <c:max val="4"/>
          <c:min val="0"/>
        </c:scaling>
        <c:delete val="0"/>
        <c:axPos val="l"/>
        <c:majorGridlines>
          <c:spPr>
            <a:ln w="9525" cap="flat" cmpd="sng" algn="ctr">
              <a:solidFill>
                <a:schemeClr val="bg1">
                  <a:lumMod val="50000"/>
                </a:schemeClr>
              </a:solidFill>
              <a:round/>
            </a:ln>
            <a:effectLst/>
          </c:spPr>
        </c:majorGridlines>
        <c:numFmt formatCode="General" sourceLinked="1"/>
        <c:majorTickMark val="out"/>
        <c:minorTickMark val="none"/>
        <c:tickLblPos val="nextTo"/>
        <c:spPr>
          <a:noFill/>
          <a:ln w="15875">
            <a:solidFill>
              <a:schemeClr val="bg2">
                <a:lumMod val="10000"/>
              </a:schemeClr>
            </a:solidFill>
          </a:ln>
          <a:effectLst/>
        </c:spPr>
        <c:txPr>
          <a:bodyPr rot="-60000000" spcFirstLastPara="1" vertOverflow="ellipsis" vert="horz" wrap="square" anchor="ctr" anchorCtr="1"/>
          <a:lstStyle/>
          <a:p>
            <a:pPr>
              <a:defRPr sz="1600" b="1" i="0" u="none" strike="noStrike" kern="1200" baseline="0">
                <a:solidFill>
                  <a:schemeClr val="dk1">
                    <a:lumMod val="75000"/>
                    <a:lumOff val="25000"/>
                  </a:schemeClr>
                </a:solidFill>
                <a:latin typeface="+mn-lt"/>
                <a:ea typeface="+mn-ea"/>
                <a:cs typeface="+mn-cs"/>
              </a:defRPr>
            </a:pPr>
            <a:endParaRPr lang="en-US"/>
          </a:p>
        </c:txPr>
        <c:crossAx val="215390016"/>
        <c:crossesAt val="1"/>
        <c:crossBetween val="midCat"/>
        <c:majorUnit val="1"/>
        <c:minorUnit val="1"/>
      </c:valAx>
      <c:spPr>
        <a:noFill/>
        <a:ln>
          <a:noFill/>
        </a:ln>
        <a:effectLst/>
      </c:spPr>
    </c:plotArea>
    <c:legend>
      <c:legendPos val="b"/>
      <c:layout>
        <c:manualLayout>
          <c:xMode val="edge"/>
          <c:yMode val="edge"/>
          <c:x val="0.27154555111425438"/>
          <c:y val="0.94921206222178167"/>
          <c:w val="0.45600098597791"/>
          <c:h val="4.3752408076234116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dk1">
                  <a:lumMod val="75000"/>
                  <a:lumOff val="25000"/>
                </a:schemeClr>
              </a:solidFill>
              <a:latin typeface="+mn-lt"/>
              <a:ea typeface="+mn-ea"/>
              <a:cs typeface="+mn-cs"/>
            </a:defRPr>
          </a:pPr>
          <a:endParaRPr lang="en-US"/>
        </a:p>
      </c:txPr>
    </c:legend>
    <c:plotVisOnly val="0"/>
    <c:dispBlanksAs val="gap"/>
    <c:showDLblsOverMax val="0"/>
  </c:chart>
  <c:spPr>
    <a:gradFill flip="none" rotWithShape="1">
      <a:gsLst>
        <a:gs pos="0">
          <a:schemeClr val="accent1">
            <a:lumMod val="0"/>
            <a:lumOff val="100000"/>
          </a:schemeClr>
        </a:gs>
        <a:gs pos="35000">
          <a:schemeClr val="accent1">
            <a:lumMod val="0"/>
            <a:lumOff val="100000"/>
          </a:schemeClr>
        </a:gs>
        <a:gs pos="100000">
          <a:schemeClr val="tx2">
            <a:lumMod val="60000"/>
            <a:lumOff val="40000"/>
          </a:schemeClr>
        </a:gs>
      </a:gsLst>
      <a:path path="circle">
        <a:fillToRect l="50000" t="-80000" r="50000" b="180000"/>
      </a:path>
      <a:tileRect/>
    </a:gradFill>
    <a:ln w="19050"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7102606290674517E-2"/>
          <c:y val="0.13649191996178761"/>
          <c:w val="0.81478147158164049"/>
          <c:h val="0.74054940157287752"/>
        </c:manualLayout>
      </c:layout>
      <c:radarChart>
        <c:radarStyle val="marker"/>
        <c:varyColors val="0"/>
        <c:ser>
          <c:idx val="0"/>
          <c:order val="0"/>
          <c:tx>
            <c:strRef>
              <c:f>Progress!$C$9</c:f>
              <c:strCache>
                <c:ptCount val="1"/>
                <c:pt idx="0">
                  <c:v>Start</c:v>
                </c:pt>
              </c:strCache>
            </c:strRef>
          </c:tx>
          <c:spPr>
            <a:ln w="28575" cap="rnd">
              <a:solidFill>
                <a:schemeClr val="accent1"/>
              </a:solidFill>
              <a:round/>
            </a:ln>
            <a:effectLst/>
          </c:spPr>
          <c:marker>
            <c:symbol val="none"/>
          </c:marker>
          <c:cat>
            <c:strRef>
              <c:extLst>
                <c:ext xmlns:c15="http://schemas.microsoft.com/office/drawing/2012/chart" uri="{02D57815-91ED-43cb-92C2-25804820EDAC}">
                  <c15:fullRef>
                    <c15:sqref>Progress!$B$10:$B$31</c15:sqref>
                  </c15:fullRef>
                </c:ext>
              </c:extLst>
              <c:f>(Progress!$B$10:$B$11,Progress!$B$13:$B$15,Progress!$B$17:$B$20,Progress!$B$22:$B$24,Progress!$B$26:$B$30)</c:f>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Progress!$C$10:$C$31</c15:sqref>
                  </c15:fullRef>
                </c:ext>
              </c:extLst>
              <c:f>(Progress!$C$10:$C$11,Progress!$C$13:$C$15,Progress!$C$17:$C$20,Progress!$C$22:$C$24,Progress!$C$26:$C$30)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0-E7BE-4CEE-AA29-A9AE95BE64C2}"/>
            </c:ext>
          </c:extLst>
        </c:ser>
        <c:ser>
          <c:idx val="5"/>
          <c:order val="5"/>
          <c:tx>
            <c:strRef>
              <c:f>Progress!$H$9</c:f>
              <c:strCache>
                <c:ptCount val="1"/>
                <c:pt idx="0">
                  <c:v>Y1 Average</c:v>
                </c:pt>
              </c:strCache>
            </c:strRef>
          </c:tx>
          <c:spPr>
            <a:ln w="28575" cap="rnd">
              <a:solidFill>
                <a:schemeClr val="accent6"/>
              </a:solidFill>
              <a:round/>
            </a:ln>
            <a:effectLst/>
          </c:spPr>
          <c:marker>
            <c:symbol val="none"/>
          </c:marker>
          <c:cat>
            <c:strRef>
              <c:extLst>
                <c:ext xmlns:c15="http://schemas.microsoft.com/office/drawing/2012/chart" uri="{02D57815-91ED-43cb-92C2-25804820EDAC}">
                  <c15:fullRef>
                    <c15:sqref>Progress!$B$10:$B$31</c15:sqref>
                  </c15:fullRef>
                </c:ext>
              </c:extLst>
              <c:f>(Progress!$B$10:$B$11,Progress!$B$13:$B$15,Progress!$B$17:$B$20,Progress!$B$22:$B$24,Progress!$B$26:$B$30)</c:f>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Progress!$H$10:$H$31</c15:sqref>
                  </c15:fullRef>
                </c:ext>
              </c:extLst>
              <c:f>(Progress!$H$10:$H$11,Progress!$H$13:$H$15,Progress!$H$17:$H$20,Progress!$H$22:$H$24,Progress!$H$26:$H$30)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1-E7BE-4CEE-AA29-A9AE95BE64C2}"/>
            </c:ext>
          </c:extLst>
        </c:ser>
        <c:ser>
          <c:idx val="10"/>
          <c:order val="10"/>
          <c:tx>
            <c:strRef>
              <c:f>Progress!$M$9</c:f>
              <c:strCache>
                <c:ptCount val="1"/>
                <c:pt idx="0">
                  <c:v>Y2 Average</c:v>
                </c:pt>
              </c:strCache>
            </c:strRef>
          </c:tx>
          <c:spPr>
            <a:ln w="28575" cap="rnd">
              <a:solidFill>
                <a:schemeClr val="accent5">
                  <a:lumMod val="60000"/>
                </a:schemeClr>
              </a:solidFill>
              <a:round/>
            </a:ln>
            <a:effectLst/>
          </c:spPr>
          <c:marker>
            <c:symbol val="none"/>
          </c:marker>
          <c:cat>
            <c:strRef>
              <c:extLst>
                <c:ext xmlns:c15="http://schemas.microsoft.com/office/drawing/2012/chart" uri="{02D57815-91ED-43cb-92C2-25804820EDAC}">
                  <c15:fullRef>
                    <c15:sqref>Progress!$B$10:$B$31</c15:sqref>
                  </c15:fullRef>
                </c:ext>
              </c:extLst>
              <c:f>(Progress!$B$10:$B$11,Progress!$B$13:$B$15,Progress!$B$17:$B$20,Progress!$B$22:$B$24,Progress!$B$26:$B$30)</c:f>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Progress!$M$10:$M$31</c15:sqref>
                  </c15:fullRef>
                </c:ext>
              </c:extLst>
              <c:f>(Progress!$M$10:$M$11,Progress!$M$13:$M$15,Progress!$M$17:$M$20,Progress!$M$22:$M$24,Progress!$M$26:$M$30)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2-E7BE-4CEE-AA29-A9AE95BE64C2}"/>
            </c:ext>
          </c:extLst>
        </c:ser>
        <c:ser>
          <c:idx val="15"/>
          <c:order val="15"/>
          <c:tx>
            <c:strRef>
              <c:f>Progress!$R$9</c:f>
              <c:strCache>
                <c:ptCount val="1"/>
                <c:pt idx="0">
                  <c:v>Y3 Average</c:v>
                </c:pt>
              </c:strCache>
            </c:strRef>
          </c:tx>
          <c:spPr>
            <a:ln w="28575" cap="rnd">
              <a:solidFill>
                <a:schemeClr val="accent4">
                  <a:lumMod val="80000"/>
                  <a:lumOff val="20000"/>
                </a:schemeClr>
              </a:solidFill>
              <a:round/>
            </a:ln>
            <a:effectLst/>
          </c:spPr>
          <c:marker>
            <c:symbol val="none"/>
          </c:marker>
          <c:cat>
            <c:strRef>
              <c:extLst>
                <c:ext xmlns:c15="http://schemas.microsoft.com/office/drawing/2012/chart" uri="{02D57815-91ED-43cb-92C2-25804820EDAC}">
                  <c15:fullRef>
                    <c15:sqref>Progress!$B$10:$B$31</c15:sqref>
                  </c15:fullRef>
                </c:ext>
              </c:extLst>
              <c:f>(Progress!$B$10:$B$11,Progress!$B$13:$B$15,Progress!$B$17:$B$20,Progress!$B$22:$B$24,Progress!$B$26:$B$30)</c:f>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Progress!$R$10:$R$31</c15:sqref>
                  </c15:fullRef>
                </c:ext>
              </c:extLst>
              <c:f>(Progress!$R$10:$R$11,Progress!$R$13:$R$15,Progress!$R$17:$R$20,Progress!$R$22:$R$24,Progress!$R$26:$R$30)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3-E7BE-4CEE-AA29-A9AE95BE64C2}"/>
            </c:ext>
          </c:extLst>
        </c:ser>
        <c:ser>
          <c:idx val="20"/>
          <c:order val="20"/>
          <c:tx>
            <c:strRef>
              <c:f>Progress!$W$9</c:f>
              <c:strCache>
                <c:ptCount val="1"/>
                <c:pt idx="0">
                  <c:v>Y4 Average</c:v>
                </c:pt>
              </c:strCache>
            </c:strRef>
          </c:tx>
          <c:spPr>
            <a:ln w="28575" cap="rnd">
              <a:solidFill>
                <a:schemeClr val="accent3">
                  <a:lumMod val="80000"/>
                </a:schemeClr>
              </a:solidFill>
              <a:round/>
            </a:ln>
            <a:effectLst/>
          </c:spPr>
          <c:marker>
            <c:symbol val="none"/>
          </c:marker>
          <c:cat>
            <c:strRef>
              <c:extLst>
                <c:ext xmlns:c15="http://schemas.microsoft.com/office/drawing/2012/chart" uri="{02D57815-91ED-43cb-92C2-25804820EDAC}">
                  <c15:fullRef>
                    <c15:sqref>Progress!$B$10:$B$31</c15:sqref>
                  </c15:fullRef>
                </c:ext>
              </c:extLst>
              <c:f>(Progress!$B$10:$B$11,Progress!$B$13:$B$15,Progress!$B$17:$B$20,Progress!$B$22:$B$24,Progress!$B$26:$B$30)</c:f>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Progress!$W$10:$W$31</c15:sqref>
                  </c15:fullRef>
                </c:ext>
              </c:extLst>
              <c:f>(Progress!$W$10:$W$11,Progress!$W$13:$W$15,Progress!$W$17:$W$20,Progress!$W$22:$W$24,Progress!$W$26:$W$30)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4-E7BE-4CEE-AA29-A9AE95BE64C2}"/>
            </c:ext>
          </c:extLst>
        </c:ser>
        <c:ser>
          <c:idx val="25"/>
          <c:order val="25"/>
          <c:tx>
            <c:strRef>
              <c:f>Progress!$AB$9</c:f>
              <c:strCache>
                <c:ptCount val="1"/>
                <c:pt idx="0">
                  <c:v>Y5 Average</c:v>
                </c:pt>
              </c:strCache>
            </c:strRef>
          </c:tx>
          <c:spPr>
            <a:ln w="28575" cap="rnd">
              <a:solidFill>
                <a:schemeClr val="accent2">
                  <a:lumMod val="60000"/>
                  <a:lumOff val="40000"/>
                </a:schemeClr>
              </a:solidFill>
              <a:round/>
            </a:ln>
            <a:effectLst/>
          </c:spPr>
          <c:marker>
            <c:symbol val="none"/>
          </c:marker>
          <c:cat>
            <c:strRef>
              <c:extLst>
                <c:ext xmlns:c15="http://schemas.microsoft.com/office/drawing/2012/chart" uri="{02D57815-91ED-43cb-92C2-25804820EDAC}">
                  <c15:fullRef>
                    <c15:sqref>Progress!$B$10:$B$31</c15:sqref>
                  </c15:fullRef>
                </c:ext>
              </c:extLst>
              <c:f>(Progress!$B$10:$B$11,Progress!$B$13:$B$15,Progress!$B$17:$B$20,Progress!$B$22:$B$24,Progress!$B$26:$B$30)</c:f>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Progress!$AB$10:$AB$31</c15:sqref>
                  </c15:fullRef>
                </c:ext>
              </c:extLst>
              <c:f>(Progress!$AB$10:$AB$11,Progress!$AB$13:$AB$15,Progress!$AB$17:$AB$20,Progress!$AB$22:$AB$24,Progress!$AB$26:$AB$30)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5-E7BE-4CEE-AA29-A9AE95BE64C2}"/>
            </c:ext>
          </c:extLst>
        </c:ser>
        <c:ser>
          <c:idx val="30"/>
          <c:order val="30"/>
          <c:tx>
            <c:strRef>
              <c:f>Progress!$AG$9</c:f>
              <c:strCache>
                <c:ptCount val="1"/>
                <c:pt idx="0">
                  <c:v>Y6 Average</c:v>
                </c:pt>
              </c:strCache>
            </c:strRef>
          </c:tx>
          <c:spPr>
            <a:ln w="28575" cap="rnd">
              <a:solidFill>
                <a:schemeClr val="accent1">
                  <a:lumMod val="50000"/>
                </a:schemeClr>
              </a:solidFill>
              <a:round/>
            </a:ln>
            <a:effectLst/>
          </c:spPr>
          <c:marker>
            <c:symbol val="none"/>
          </c:marker>
          <c:cat>
            <c:strRef>
              <c:extLst>
                <c:ext xmlns:c15="http://schemas.microsoft.com/office/drawing/2012/chart" uri="{02D57815-91ED-43cb-92C2-25804820EDAC}">
                  <c15:fullRef>
                    <c15:sqref>Progress!$B$10:$B$31</c15:sqref>
                  </c15:fullRef>
                </c:ext>
              </c:extLst>
              <c:f>(Progress!$B$10:$B$11,Progress!$B$13:$B$15,Progress!$B$17:$B$20,Progress!$B$22:$B$24,Progress!$B$26:$B$30)</c:f>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Progress!$AG$10:$AG$31</c15:sqref>
                  </c15:fullRef>
                </c:ext>
              </c:extLst>
              <c:f>(Progress!$AG$10:$AG$11,Progress!$AG$13:$AG$15,Progress!$AG$17:$AG$20,Progress!$AG$22:$AG$24,Progress!$AG$26:$AG$30)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6-E7BE-4CEE-AA29-A9AE95BE64C2}"/>
            </c:ext>
          </c:extLst>
        </c:ser>
        <c:dLbls>
          <c:showLegendKey val="0"/>
          <c:showVal val="0"/>
          <c:showCatName val="0"/>
          <c:showSerName val="0"/>
          <c:showPercent val="0"/>
          <c:showBubbleSize val="0"/>
        </c:dLbls>
        <c:axId val="281371352"/>
        <c:axId val="281371744"/>
        <c:extLst>
          <c:ext xmlns:c15="http://schemas.microsoft.com/office/drawing/2012/chart" uri="{02D57815-91ED-43cb-92C2-25804820EDAC}">
            <c15:filteredRadarSeries>
              <c15:ser>
                <c:idx val="1"/>
                <c:order val="1"/>
                <c:tx>
                  <c:strRef>
                    <c:extLst>
                      <c:ext uri="{02D57815-91ED-43cb-92C2-25804820EDAC}">
                        <c15:formulaRef>
                          <c15:sqref>Progress!$D$9</c15:sqref>
                        </c15:formulaRef>
                      </c:ext>
                    </c:extLst>
                    <c:strCache>
                      <c:ptCount val="1"/>
                      <c:pt idx="0">
                        <c:v>Report 1</c:v>
                      </c:pt>
                    </c:strCache>
                  </c:strRef>
                </c:tx>
                <c:spPr>
                  <a:ln w="28575" cap="rnd">
                    <a:solidFill>
                      <a:schemeClr val="accent2"/>
                    </a:solidFill>
                    <a:round/>
                  </a:ln>
                  <a:effectLst/>
                </c:spPr>
                <c:marker>
                  <c:symbol val="none"/>
                </c:marker>
                <c:cat>
                  <c:strRef>
                    <c:extLst>
                      <c:ex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uri="{02D57815-91ED-43cb-92C2-25804820EDAC}">
                        <c15:fullRef>
                          <c15:sqref>Progress!$D$10:$D$31</c15:sqref>
                        </c15:fullRef>
                        <c15:formulaRef>
                          <c15:sqref>(Progress!$D$10:$D$11,Progress!$D$13:$D$15,Progress!$D$17:$D$20,Progress!$D$22:$D$24,Progress!$D$26:$D$30)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7-E7BE-4CEE-AA29-A9AE95BE64C2}"/>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Progress!$E$9</c15:sqref>
                        </c15:formulaRef>
                      </c:ext>
                    </c:extLst>
                    <c:strCache>
                      <c:ptCount val="1"/>
                      <c:pt idx="0">
                        <c:v>Report 2</c:v>
                      </c:pt>
                    </c:strCache>
                  </c:strRef>
                </c:tx>
                <c:spPr>
                  <a:ln w="28575" cap="rnd">
                    <a:solidFill>
                      <a:schemeClr val="accent3"/>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Progress!$E$10:$E$31</c15:sqref>
                        </c15:fullRef>
                        <c15:formulaRef>
                          <c15:sqref>(Progress!$E$10:$E$11,Progress!$E$13:$E$15,Progress!$E$17:$E$20,Progress!$E$22:$E$24,Progress!$E$26:$E$30)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08-E7BE-4CEE-AA29-A9AE95BE64C2}"/>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Progress!$F$9</c15:sqref>
                        </c15:formulaRef>
                      </c:ext>
                    </c:extLst>
                    <c:strCache>
                      <c:ptCount val="1"/>
                      <c:pt idx="0">
                        <c:v>Report 3 </c:v>
                      </c:pt>
                    </c:strCache>
                  </c:strRef>
                </c:tx>
                <c:spPr>
                  <a:ln w="28575" cap="rnd">
                    <a:solidFill>
                      <a:schemeClr val="accent4"/>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Progress!$F$10:$F$31</c15:sqref>
                        </c15:fullRef>
                        <c15:formulaRef>
                          <c15:sqref>(Progress!$F$10:$F$11,Progress!$F$13:$F$15,Progress!$F$17:$F$20,Progress!$F$22:$F$24,Progress!$F$26:$F$30)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09-E7BE-4CEE-AA29-A9AE95BE64C2}"/>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Progress!$G$9</c15:sqref>
                        </c15:formulaRef>
                      </c:ext>
                    </c:extLst>
                    <c:strCache>
                      <c:ptCount val="1"/>
                      <c:pt idx="0">
                        <c:v>Report 4</c:v>
                      </c:pt>
                    </c:strCache>
                  </c:strRef>
                </c:tx>
                <c:spPr>
                  <a:ln w="28575" cap="rnd">
                    <a:solidFill>
                      <a:schemeClr val="accent5"/>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Progress!$G$10:$G$31</c15:sqref>
                        </c15:fullRef>
                        <c15:formulaRef>
                          <c15:sqref>(Progress!$G$10:$G$11,Progress!$G$13:$G$15,Progress!$G$17:$G$20,Progress!$G$22:$G$24,Progress!$G$26:$G$30)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0A-E7BE-4CEE-AA29-A9AE95BE64C2}"/>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Progress!$I$9</c15:sqref>
                        </c15:formulaRef>
                      </c:ext>
                    </c:extLst>
                    <c:strCache>
                      <c:ptCount val="1"/>
                      <c:pt idx="0">
                        <c:v>Report 1</c:v>
                      </c:pt>
                    </c:strCache>
                  </c:strRef>
                </c:tx>
                <c:spPr>
                  <a:ln w="28575" cap="rnd">
                    <a:solidFill>
                      <a:schemeClr val="accent1">
                        <a:lumMod val="6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Progress!$I$10:$I$31</c15:sqref>
                        </c15:fullRef>
                        <c15:formulaRef>
                          <c15:sqref>(Progress!$I$10:$I$11,Progress!$I$13:$I$15,Progress!$I$17:$I$20,Progress!$I$22:$I$24,Progress!$I$26:$I$30)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0B-E7BE-4CEE-AA29-A9AE95BE64C2}"/>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Progress!$J$9</c15:sqref>
                        </c15:formulaRef>
                      </c:ext>
                    </c:extLst>
                    <c:strCache>
                      <c:ptCount val="1"/>
                      <c:pt idx="0">
                        <c:v>Report 2</c:v>
                      </c:pt>
                    </c:strCache>
                  </c:strRef>
                </c:tx>
                <c:spPr>
                  <a:ln w="28575" cap="rnd">
                    <a:solidFill>
                      <a:schemeClr val="accent2">
                        <a:lumMod val="6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Progress!$J$10:$J$31</c15:sqref>
                        </c15:fullRef>
                        <c15:formulaRef>
                          <c15:sqref>(Progress!$J$10:$J$11,Progress!$J$13:$J$15,Progress!$J$17:$J$20,Progress!$J$22:$J$24,Progress!$J$26:$J$30)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0C-E7BE-4CEE-AA29-A9AE95BE64C2}"/>
                  </c:ext>
                </c:extLst>
              </c15:ser>
            </c15:filteredRadarSeries>
            <c15:filteredRadarSeries>
              <c15:ser>
                <c:idx val="8"/>
                <c:order val="8"/>
                <c:tx>
                  <c:strRef>
                    <c:extLst xmlns:c15="http://schemas.microsoft.com/office/drawing/2012/chart">
                      <c:ext xmlns:c15="http://schemas.microsoft.com/office/drawing/2012/chart" uri="{02D57815-91ED-43cb-92C2-25804820EDAC}">
                        <c15:formulaRef>
                          <c15:sqref>Progress!$K$9</c15:sqref>
                        </c15:formulaRef>
                      </c:ext>
                    </c:extLst>
                    <c:strCache>
                      <c:ptCount val="1"/>
                      <c:pt idx="0">
                        <c:v>Report 3 </c:v>
                      </c:pt>
                    </c:strCache>
                  </c:strRef>
                </c:tx>
                <c:spPr>
                  <a:ln w="28575" cap="rnd">
                    <a:solidFill>
                      <a:schemeClr val="accent3">
                        <a:lumMod val="6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Progress!$K$10:$K$31</c15:sqref>
                        </c15:fullRef>
                        <c15:formulaRef>
                          <c15:sqref>(Progress!$K$10:$K$11,Progress!$K$13:$K$15,Progress!$K$17:$K$20,Progress!$K$22:$K$24,Progress!$K$26:$K$30)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0D-E7BE-4CEE-AA29-A9AE95BE64C2}"/>
                  </c:ext>
                </c:extLst>
              </c15:ser>
            </c15:filteredRadarSeries>
            <c15:filteredRadarSeries>
              <c15:ser>
                <c:idx val="9"/>
                <c:order val="9"/>
                <c:tx>
                  <c:strRef>
                    <c:extLst xmlns:c15="http://schemas.microsoft.com/office/drawing/2012/chart">
                      <c:ext xmlns:c15="http://schemas.microsoft.com/office/drawing/2012/chart" uri="{02D57815-91ED-43cb-92C2-25804820EDAC}">
                        <c15:formulaRef>
                          <c15:sqref>Progress!$L$9</c15:sqref>
                        </c15:formulaRef>
                      </c:ext>
                    </c:extLst>
                    <c:strCache>
                      <c:ptCount val="1"/>
                      <c:pt idx="0">
                        <c:v>Report 4</c:v>
                      </c:pt>
                    </c:strCache>
                  </c:strRef>
                </c:tx>
                <c:spPr>
                  <a:ln w="28575" cap="rnd">
                    <a:solidFill>
                      <a:schemeClr val="accent4">
                        <a:lumMod val="6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Progress!$L$10:$L$31</c15:sqref>
                        </c15:fullRef>
                        <c15:formulaRef>
                          <c15:sqref>(Progress!$L$10:$L$11,Progress!$L$13:$L$15,Progress!$L$17:$L$20,Progress!$L$22:$L$24,Progress!$L$26:$L$30)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0E-E7BE-4CEE-AA29-A9AE95BE64C2}"/>
                  </c:ext>
                </c:extLst>
              </c15:ser>
            </c15:filteredRadarSeries>
            <c15:filteredRadarSeries>
              <c15:ser>
                <c:idx val="11"/>
                <c:order val="11"/>
                <c:tx>
                  <c:strRef>
                    <c:extLst xmlns:c15="http://schemas.microsoft.com/office/drawing/2012/chart">
                      <c:ext xmlns:c15="http://schemas.microsoft.com/office/drawing/2012/chart" uri="{02D57815-91ED-43cb-92C2-25804820EDAC}">
                        <c15:formulaRef>
                          <c15:sqref>Progress!$N$9</c15:sqref>
                        </c15:formulaRef>
                      </c:ext>
                    </c:extLst>
                    <c:strCache>
                      <c:ptCount val="1"/>
                      <c:pt idx="0">
                        <c:v>Report 1</c:v>
                      </c:pt>
                    </c:strCache>
                  </c:strRef>
                </c:tx>
                <c:spPr>
                  <a:ln w="28575" cap="rnd">
                    <a:solidFill>
                      <a:schemeClr val="accent6">
                        <a:lumMod val="6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Progress!$N$10:$N$31</c15:sqref>
                        </c15:fullRef>
                        <c15:formulaRef>
                          <c15:sqref>(Progress!$N$10:$N$11,Progress!$N$13:$N$15,Progress!$N$17:$N$20,Progress!$N$22:$N$24,Progress!$N$26:$N$30)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0F-E7BE-4CEE-AA29-A9AE95BE64C2}"/>
                  </c:ext>
                </c:extLst>
              </c15:ser>
            </c15:filteredRadarSeries>
            <c15:filteredRadarSeries>
              <c15:ser>
                <c:idx val="12"/>
                <c:order val="12"/>
                <c:tx>
                  <c:strRef>
                    <c:extLst xmlns:c15="http://schemas.microsoft.com/office/drawing/2012/chart">
                      <c:ext xmlns:c15="http://schemas.microsoft.com/office/drawing/2012/chart" uri="{02D57815-91ED-43cb-92C2-25804820EDAC}">
                        <c15:formulaRef>
                          <c15:sqref>Progress!$O$9</c15:sqref>
                        </c15:formulaRef>
                      </c:ext>
                    </c:extLst>
                    <c:strCache>
                      <c:ptCount val="1"/>
                      <c:pt idx="0">
                        <c:v>Report 2</c:v>
                      </c:pt>
                    </c:strCache>
                  </c:strRef>
                </c:tx>
                <c:spPr>
                  <a:ln w="28575" cap="rnd">
                    <a:solidFill>
                      <a:schemeClr val="accent1">
                        <a:lumMod val="80000"/>
                        <a:lumOff val="2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Progress!$O$10:$O$31</c15:sqref>
                        </c15:fullRef>
                        <c15:formulaRef>
                          <c15:sqref>(Progress!$O$10:$O$11,Progress!$O$13:$O$15,Progress!$O$17:$O$20,Progress!$O$22:$O$24,Progress!$O$26:$O$30)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10-E7BE-4CEE-AA29-A9AE95BE64C2}"/>
                  </c:ext>
                </c:extLst>
              </c15:ser>
            </c15:filteredRadarSeries>
            <c15:filteredRadarSeries>
              <c15:ser>
                <c:idx val="13"/>
                <c:order val="13"/>
                <c:tx>
                  <c:strRef>
                    <c:extLst xmlns:c15="http://schemas.microsoft.com/office/drawing/2012/chart">
                      <c:ext xmlns:c15="http://schemas.microsoft.com/office/drawing/2012/chart" uri="{02D57815-91ED-43cb-92C2-25804820EDAC}">
                        <c15:formulaRef>
                          <c15:sqref>Progress!$P$9</c15:sqref>
                        </c15:formulaRef>
                      </c:ext>
                    </c:extLst>
                    <c:strCache>
                      <c:ptCount val="1"/>
                      <c:pt idx="0">
                        <c:v>Report 3 </c:v>
                      </c:pt>
                    </c:strCache>
                  </c:strRef>
                </c:tx>
                <c:spPr>
                  <a:ln w="28575" cap="rnd">
                    <a:solidFill>
                      <a:schemeClr val="accent2">
                        <a:lumMod val="80000"/>
                        <a:lumOff val="2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Progress!$P$10:$P$31</c15:sqref>
                        </c15:fullRef>
                        <c15:formulaRef>
                          <c15:sqref>(Progress!$P$10:$P$11,Progress!$P$13:$P$15,Progress!$P$17:$P$20,Progress!$P$22:$P$24,Progress!$P$26:$P$30)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11-E7BE-4CEE-AA29-A9AE95BE64C2}"/>
                  </c:ext>
                </c:extLst>
              </c15:ser>
            </c15:filteredRadarSeries>
            <c15:filteredRadarSeries>
              <c15:ser>
                <c:idx val="14"/>
                <c:order val="14"/>
                <c:tx>
                  <c:strRef>
                    <c:extLst xmlns:c15="http://schemas.microsoft.com/office/drawing/2012/chart">
                      <c:ext xmlns:c15="http://schemas.microsoft.com/office/drawing/2012/chart" uri="{02D57815-91ED-43cb-92C2-25804820EDAC}">
                        <c15:formulaRef>
                          <c15:sqref>Progress!$Q$9</c15:sqref>
                        </c15:formulaRef>
                      </c:ext>
                    </c:extLst>
                    <c:strCache>
                      <c:ptCount val="1"/>
                      <c:pt idx="0">
                        <c:v>Report 4</c:v>
                      </c:pt>
                    </c:strCache>
                  </c:strRef>
                </c:tx>
                <c:spPr>
                  <a:ln w="28575" cap="rnd">
                    <a:solidFill>
                      <a:schemeClr val="accent3">
                        <a:lumMod val="80000"/>
                        <a:lumOff val="2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Progress!$Q$10:$Q$31</c15:sqref>
                        </c15:fullRef>
                        <c15:formulaRef>
                          <c15:sqref>(Progress!$Q$10:$Q$11,Progress!$Q$13:$Q$15,Progress!$Q$17:$Q$20,Progress!$Q$22:$Q$24,Progress!$Q$26:$Q$30)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12-E7BE-4CEE-AA29-A9AE95BE64C2}"/>
                  </c:ext>
                </c:extLst>
              </c15:ser>
            </c15:filteredRadarSeries>
            <c15:filteredRadarSeries>
              <c15:ser>
                <c:idx val="16"/>
                <c:order val="16"/>
                <c:tx>
                  <c:strRef>
                    <c:extLst xmlns:c15="http://schemas.microsoft.com/office/drawing/2012/chart">
                      <c:ext xmlns:c15="http://schemas.microsoft.com/office/drawing/2012/chart" uri="{02D57815-91ED-43cb-92C2-25804820EDAC}">
                        <c15:formulaRef>
                          <c15:sqref>Progress!$S$9</c15:sqref>
                        </c15:formulaRef>
                      </c:ext>
                    </c:extLst>
                    <c:strCache>
                      <c:ptCount val="1"/>
                      <c:pt idx="0">
                        <c:v>Report 1</c:v>
                      </c:pt>
                    </c:strCache>
                  </c:strRef>
                </c:tx>
                <c:spPr>
                  <a:ln w="28575" cap="rnd">
                    <a:solidFill>
                      <a:schemeClr val="accent5">
                        <a:lumMod val="80000"/>
                        <a:lumOff val="2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Progress!$S$10:$S$31</c15:sqref>
                        </c15:fullRef>
                        <c15:formulaRef>
                          <c15:sqref>(Progress!$S$10:$S$11,Progress!$S$13:$S$15,Progress!$S$17:$S$20,Progress!$S$22:$S$24,Progress!$S$26:$S$30)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13-E7BE-4CEE-AA29-A9AE95BE64C2}"/>
                  </c:ext>
                </c:extLst>
              </c15:ser>
            </c15:filteredRadarSeries>
            <c15:filteredRadarSeries>
              <c15:ser>
                <c:idx val="17"/>
                <c:order val="17"/>
                <c:tx>
                  <c:strRef>
                    <c:extLst xmlns:c15="http://schemas.microsoft.com/office/drawing/2012/chart">
                      <c:ext xmlns:c15="http://schemas.microsoft.com/office/drawing/2012/chart" uri="{02D57815-91ED-43cb-92C2-25804820EDAC}">
                        <c15:formulaRef>
                          <c15:sqref>Progress!$T$9</c15:sqref>
                        </c15:formulaRef>
                      </c:ext>
                    </c:extLst>
                    <c:strCache>
                      <c:ptCount val="1"/>
                      <c:pt idx="0">
                        <c:v>Report 2</c:v>
                      </c:pt>
                    </c:strCache>
                  </c:strRef>
                </c:tx>
                <c:spPr>
                  <a:ln w="28575" cap="rnd">
                    <a:solidFill>
                      <a:schemeClr val="accent6">
                        <a:lumMod val="80000"/>
                        <a:lumOff val="2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Progress!$T$10:$T$31</c15:sqref>
                        </c15:fullRef>
                        <c15:formulaRef>
                          <c15:sqref>(Progress!$T$10:$T$11,Progress!$T$13:$T$15,Progress!$T$17:$T$20,Progress!$T$22:$T$24,Progress!$T$26:$T$30)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14-E7BE-4CEE-AA29-A9AE95BE64C2}"/>
                  </c:ext>
                </c:extLst>
              </c15:ser>
            </c15:filteredRadarSeries>
            <c15:filteredRadarSeries>
              <c15:ser>
                <c:idx val="18"/>
                <c:order val="18"/>
                <c:tx>
                  <c:strRef>
                    <c:extLst xmlns:c15="http://schemas.microsoft.com/office/drawing/2012/chart">
                      <c:ext xmlns:c15="http://schemas.microsoft.com/office/drawing/2012/chart" uri="{02D57815-91ED-43cb-92C2-25804820EDAC}">
                        <c15:formulaRef>
                          <c15:sqref>Progress!$U$9</c15:sqref>
                        </c15:formulaRef>
                      </c:ext>
                    </c:extLst>
                    <c:strCache>
                      <c:ptCount val="1"/>
                      <c:pt idx="0">
                        <c:v>Report 3 </c:v>
                      </c:pt>
                    </c:strCache>
                  </c:strRef>
                </c:tx>
                <c:spPr>
                  <a:ln w="28575" cap="rnd">
                    <a:solidFill>
                      <a:schemeClr val="accent1">
                        <a:lumMod val="8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Progress!$U$10:$U$31</c15:sqref>
                        </c15:fullRef>
                        <c15:formulaRef>
                          <c15:sqref>(Progress!$U$10:$U$11,Progress!$U$13:$U$15,Progress!$U$17:$U$20,Progress!$U$22:$U$24,Progress!$U$26:$U$30)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15-E7BE-4CEE-AA29-A9AE95BE64C2}"/>
                  </c:ext>
                </c:extLst>
              </c15:ser>
            </c15:filteredRadarSeries>
            <c15:filteredRadarSeries>
              <c15:ser>
                <c:idx val="19"/>
                <c:order val="19"/>
                <c:tx>
                  <c:strRef>
                    <c:extLst xmlns:c15="http://schemas.microsoft.com/office/drawing/2012/chart">
                      <c:ext xmlns:c15="http://schemas.microsoft.com/office/drawing/2012/chart" uri="{02D57815-91ED-43cb-92C2-25804820EDAC}">
                        <c15:formulaRef>
                          <c15:sqref>Progress!$V$9</c15:sqref>
                        </c15:formulaRef>
                      </c:ext>
                    </c:extLst>
                    <c:strCache>
                      <c:ptCount val="1"/>
                      <c:pt idx="0">
                        <c:v>Report 4</c:v>
                      </c:pt>
                    </c:strCache>
                  </c:strRef>
                </c:tx>
                <c:spPr>
                  <a:ln w="28575" cap="rnd">
                    <a:solidFill>
                      <a:schemeClr val="accent2">
                        <a:lumMod val="8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Progress!$V$10:$V$31</c15:sqref>
                        </c15:fullRef>
                        <c15:formulaRef>
                          <c15:sqref>(Progress!$V$10:$V$11,Progress!$V$13:$V$15,Progress!$V$17:$V$20,Progress!$V$22:$V$24,Progress!$V$26:$V$30)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16-E7BE-4CEE-AA29-A9AE95BE64C2}"/>
                  </c:ext>
                </c:extLst>
              </c15:ser>
            </c15:filteredRadarSeries>
            <c15:filteredRadarSeries>
              <c15:ser>
                <c:idx val="21"/>
                <c:order val="21"/>
                <c:tx>
                  <c:strRef>
                    <c:extLst xmlns:c15="http://schemas.microsoft.com/office/drawing/2012/chart">
                      <c:ext xmlns:c15="http://schemas.microsoft.com/office/drawing/2012/chart" uri="{02D57815-91ED-43cb-92C2-25804820EDAC}">
                        <c15:formulaRef>
                          <c15:sqref>Progress!$X$9</c15:sqref>
                        </c15:formulaRef>
                      </c:ext>
                    </c:extLst>
                    <c:strCache>
                      <c:ptCount val="1"/>
                      <c:pt idx="0">
                        <c:v>Report 1</c:v>
                      </c:pt>
                    </c:strCache>
                  </c:strRef>
                </c:tx>
                <c:spPr>
                  <a:ln w="28575" cap="rnd">
                    <a:solidFill>
                      <a:schemeClr val="accent4">
                        <a:lumMod val="8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Progress!$X$10:$X$31</c15:sqref>
                        </c15:fullRef>
                        <c15:formulaRef>
                          <c15:sqref>(Progress!$X$10:$X$11,Progress!$X$13:$X$15,Progress!$X$17:$X$20,Progress!$X$22:$X$24,Progress!$X$26:$X$30)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17-E7BE-4CEE-AA29-A9AE95BE64C2}"/>
                  </c:ext>
                </c:extLst>
              </c15:ser>
            </c15:filteredRadarSeries>
            <c15:filteredRadarSeries>
              <c15:ser>
                <c:idx val="22"/>
                <c:order val="22"/>
                <c:tx>
                  <c:strRef>
                    <c:extLst xmlns:c15="http://schemas.microsoft.com/office/drawing/2012/chart">
                      <c:ext xmlns:c15="http://schemas.microsoft.com/office/drawing/2012/chart" uri="{02D57815-91ED-43cb-92C2-25804820EDAC}">
                        <c15:formulaRef>
                          <c15:sqref>Progress!$Y$9</c15:sqref>
                        </c15:formulaRef>
                      </c:ext>
                    </c:extLst>
                    <c:strCache>
                      <c:ptCount val="1"/>
                      <c:pt idx="0">
                        <c:v>Report 2</c:v>
                      </c:pt>
                    </c:strCache>
                  </c:strRef>
                </c:tx>
                <c:spPr>
                  <a:ln w="28575" cap="rnd">
                    <a:solidFill>
                      <a:schemeClr val="accent5">
                        <a:lumMod val="8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Progress!$Y$10:$Y$31</c15:sqref>
                        </c15:fullRef>
                        <c15:formulaRef>
                          <c15:sqref>(Progress!$Y$10:$Y$11,Progress!$Y$13:$Y$15,Progress!$Y$17:$Y$20,Progress!$Y$22:$Y$24,Progress!$Y$26:$Y$30)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18-E7BE-4CEE-AA29-A9AE95BE64C2}"/>
                  </c:ext>
                </c:extLst>
              </c15:ser>
            </c15:filteredRadarSeries>
            <c15:filteredRadarSeries>
              <c15:ser>
                <c:idx val="23"/>
                <c:order val="23"/>
                <c:tx>
                  <c:strRef>
                    <c:extLst xmlns:c15="http://schemas.microsoft.com/office/drawing/2012/chart">
                      <c:ext xmlns:c15="http://schemas.microsoft.com/office/drawing/2012/chart" uri="{02D57815-91ED-43cb-92C2-25804820EDAC}">
                        <c15:formulaRef>
                          <c15:sqref>Progress!$Z$9</c15:sqref>
                        </c15:formulaRef>
                      </c:ext>
                    </c:extLst>
                    <c:strCache>
                      <c:ptCount val="1"/>
                      <c:pt idx="0">
                        <c:v>Report 3 </c:v>
                      </c:pt>
                    </c:strCache>
                  </c:strRef>
                </c:tx>
                <c:spPr>
                  <a:ln w="28575" cap="rnd">
                    <a:solidFill>
                      <a:schemeClr val="accent6">
                        <a:lumMod val="8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Progress!$Z$10:$Z$31</c15:sqref>
                        </c15:fullRef>
                        <c15:formulaRef>
                          <c15:sqref>(Progress!$Z$10:$Z$11,Progress!$Z$13:$Z$15,Progress!$Z$17:$Z$20,Progress!$Z$22:$Z$24,Progress!$Z$26:$Z$30)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19-E7BE-4CEE-AA29-A9AE95BE64C2}"/>
                  </c:ext>
                </c:extLst>
              </c15:ser>
            </c15:filteredRadarSeries>
            <c15:filteredRadarSeries>
              <c15:ser>
                <c:idx val="24"/>
                <c:order val="24"/>
                <c:tx>
                  <c:strRef>
                    <c:extLst xmlns:c15="http://schemas.microsoft.com/office/drawing/2012/chart">
                      <c:ext xmlns:c15="http://schemas.microsoft.com/office/drawing/2012/chart" uri="{02D57815-91ED-43cb-92C2-25804820EDAC}">
                        <c15:formulaRef>
                          <c15:sqref>Progress!$AA$9</c15:sqref>
                        </c15:formulaRef>
                      </c:ext>
                    </c:extLst>
                    <c:strCache>
                      <c:ptCount val="1"/>
                      <c:pt idx="0">
                        <c:v>Report 4</c:v>
                      </c:pt>
                    </c:strCache>
                  </c:strRef>
                </c:tx>
                <c:spPr>
                  <a:ln w="28575" cap="rnd">
                    <a:solidFill>
                      <a:schemeClr val="accent1">
                        <a:lumMod val="60000"/>
                        <a:lumOff val="4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Progress!$AA$10:$AA$31</c15:sqref>
                        </c15:fullRef>
                        <c15:formulaRef>
                          <c15:sqref>(Progress!$AA$10:$AA$11,Progress!$AA$13:$AA$15,Progress!$AA$17:$AA$20,Progress!$AA$22:$AA$24,Progress!$AA$26:$AA$30)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1A-E7BE-4CEE-AA29-A9AE95BE64C2}"/>
                  </c:ext>
                </c:extLst>
              </c15:ser>
            </c15:filteredRadarSeries>
            <c15:filteredRadarSeries>
              <c15:ser>
                <c:idx val="26"/>
                <c:order val="26"/>
                <c:tx>
                  <c:strRef>
                    <c:extLst xmlns:c15="http://schemas.microsoft.com/office/drawing/2012/chart">
                      <c:ext xmlns:c15="http://schemas.microsoft.com/office/drawing/2012/chart" uri="{02D57815-91ED-43cb-92C2-25804820EDAC}">
                        <c15:formulaRef>
                          <c15:sqref>Progress!$AC$9</c15:sqref>
                        </c15:formulaRef>
                      </c:ext>
                    </c:extLst>
                    <c:strCache>
                      <c:ptCount val="1"/>
                      <c:pt idx="0">
                        <c:v>Report 1</c:v>
                      </c:pt>
                    </c:strCache>
                  </c:strRef>
                </c:tx>
                <c:spPr>
                  <a:ln w="28575" cap="rnd">
                    <a:solidFill>
                      <a:schemeClr val="accent3">
                        <a:lumMod val="60000"/>
                        <a:lumOff val="4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Progress!$AC$10:$AC$31</c15:sqref>
                        </c15:fullRef>
                        <c15:formulaRef>
                          <c15:sqref>(Progress!$AC$10:$AC$11,Progress!$AC$13:$AC$15,Progress!$AC$17:$AC$20,Progress!$AC$22:$AC$24,Progress!$AC$26:$AC$30)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1B-E7BE-4CEE-AA29-A9AE95BE64C2}"/>
                  </c:ext>
                </c:extLst>
              </c15:ser>
            </c15:filteredRadarSeries>
            <c15:filteredRadarSeries>
              <c15:ser>
                <c:idx val="27"/>
                <c:order val="27"/>
                <c:tx>
                  <c:strRef>
                    <c:extLst xmlns:c15="http://schemas.microsoft.com/office/drawing/2012/chart">
                      <c:ext xmlns:c15="http://schemas.microsoft.com/office/drawing/2012/chart" uri="{02D57815-91ED-43cb-92C2-25804820EDAC}">
                        <c15:formulaRef>
                          <c15:sqref>Progress!$AD$9</c15:sqref>
                        </c15:formulaRef>
                      </c:ext>
                    </c:extLst>
                    <c:strCache>
                      <c:ptCount val="1"/>
                      <c:pt idx="0">
                        <c:v>Report 2</c:v>
                      </c:pt>
                    </c:strCache>
                  </c:strRef>
                </c:tx>
                <c:spPr>
                  <a:ln w="28575" cap="rnd">
                    <a:solidFill>
                      <a:schemeClr val="accent4">
                        <a:lumMod val="60000"/>
                        <a:lumOff val="4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Progress!$AD$10:$AD$31</c15:sqref>
                        </c15:fullRef>
                        <c15:formulaRef>
                          <c15:sqref>(Progress!$AD$10:$AD$11,Progress!$AD$13:$AD$15,Progress!$AD$17:$AD$20,Progress!$AD$22:$AD$24,Progress!$AD$26:$AD$30)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1C-E7BE-4CEE-AA29-A9AE95BE64C2}"/>
                  </c:ext>
                </c:extLst>
              </c15:ser>
            </c15:filteredRadarSeries>
            <c15:filteredRadarSeries>
              <c15:ser>
                <c:idx val="28"/>
                <c:order val="28"/>
                <c:tx>
                  <c:strRef>
                    <c:extLst xmlns:c15="http://schemas.microsoft.com/office/drawing/2012/chart">
                      <c:ext xmlns:c15="http://schemas.microsoft.com/office/drawing/2012/chart" uri="{02D57815-91ED-43cb-92C2-25804820EDAC}">
                        <c15:formulaRef>
                          <c15:sqref>Progress!$AE$9</c15:sqref>
                        </c15:formulaRef>
                      </c:ext>
                    </c:extLst>
                    <c:strCache>
                      <c:ptCount val="1"/>
                      <c:pt idx="0">
                        <c:v>Report 3 </c:v>
                      </c:pt>
                    </c:strCache>
                  </c:strRef>
                </c:tx>
                <c:spPr>
                  <a:ln w="28575" cap="rnd">
                    <a:solidFill>
                      <a:schemeClr val="accent5">
                        <a:lumMod val="60000"/>
                        <a:lumOff val="4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Progress!$AE$10:$AE$31</c15:sqref>
                        </c15:fullRef>
                        <c15:formulaRef>
                          <c15:sqref>(Progress!$AE$10:$AE$11,Progress!$AE$13:$AE$15,Progress!$AE$17:$AE$20,Progress!$AE$22:$AE$24,Progress!$AE$26:$AE$30)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1D-E7BE-4CEE-AA29-A9AE95BE64C2}"/>
                  </c:ext>
                </c:extLst>
              </c15:ser>
            </c15:filteredRadarSeries>
            <c15:filteredRadarSeries>
              <c15:ser>
                <c:idx val="29"/>
                <c:order val="29"/>
                <c:tx>
                  <c:strRef>
                    <c:extLst xmlns:c15="http://schemas.microsoft.com/office/drawing/2012/chart">
                      <c:ext xmlns:c15="http://schemas.microsoft.com/office/drawing/2012/chart" uri="{02D57815-91ED-43cb-92C2-25804820EDAC}">
                        <c15:formulaRef>
                          <c15:sqref>Progress!$AF$9</c15:sqref>
                        </c15:formulaRef>
                      </c:ext>
                    </c:extLst>
                    <c:strCache>
                      <c:ptCount val="1"/>
                      <c:pt idx="0">
                        <c:v>Report 4</c:v>
                      </c:pt>
                    </c:strCache>
                  </c:strRef>
                </c:tx>
                <c:spPr>
                  <a:ln w="28575" cap="rnd">
                    <a:solidFill>
                      <a:schemeClr val="accent6">
                        <a:lumMod val="60000"/>
                        <a:lumOff val="4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Progress!$AF$10:$AF$31</c15:sqref>
                        </c15:fullRef>
                        <c15:formulaRef>
                          <c15:sqref>(Progress!$AF$10:$AF$11,Progress!$AF$13:$AF$15,Progress!$AF$17:$AF$20,Progress!$AF$22:$AF$24,Progress!$AF$26:$AF$30)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1E-E7BE-4CEE-AA29-A9AE95BE64C2}"/>
                  </c:ext>
                </c:extLst>
              </c15:ser>
            </c15:filteredRadarSeries>
          </c:ext>
        </c:extLst>
      </c:radarChart>
      <c:catAx>
        <c:axId val="281371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281371744"/>
        <c:crosses val="autoZero"/>
        <c:auto val="1"/>
        <c:lblAlgn val="ctr"/>
        <c:lblOffset val="100"/>
        <c:noMultiLvlLbl val="0"/>
      </c:catAx>
      <c:valAx>
        <c:axId val="281371744"/>
        <c:scaling>
          <c:orientation val="minMax"/>
          <c:max val="4"/>
          <c:min val="0"/>
        </c:scaling>
        <c:delete val="0"/>
        <c:axPos val="l"/>
        <c:majorGridlines>
          <c:spPr>
            <a:ln w="9525" cap="flat" cmpd="sng" algn="ctr">
              <a:solidFill>
                <a:schemeClr val="tx1">
                  <a:lumMod val="50000"/>
                  <a:lumOff val="50000"/>
                </a:schemeClr>
              </a:solidFill>
              <a:miter lim="800000"/>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281371352"/>
        <c:crosses val="autoZero"/>
        <c:crossBetween val="between"/>
        <c:majorUnit val="1"/>
        <c:minorUnit val="1"/>
      </c:valAx>
      <c:spPr>
        <a:noFill/>
        <a:ln>
          <a:noFill/>
        </a:ln>
        <a:effectLst/>
      </c:spPr>
    </c:plotArea>
    <c:legend>
      <c:legendPos val="r"/>
      <c:layout>
        <c:manualLayout>
          <c:xMode val="edge"/>
          <c:yMode val="edge"/>
          <c:x val="0.85873409492360919"/>
          <c:y val="0.79254704020531963"/>
          <c:w val="0.13195987003206111"/>
          <c:h val="0.1998262007903015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a:gsLst>
        <a:gs pos="0">
          <a:schemeClr val="accent1">
            <a:lumMod val="0"/>
            <a:lumOff val="100000"/>
          </a:schemeClr>
        </a:gs>
        <a:gs pos="35000">
          <a:schemeClr val="accent1">
            <a:lumMod val="0"/>
            <a:lumOff val="100000"/>
          </a:schemeClr>
        </a:gs>
        <a:gs pos="100000">
          <a:schemeClr val="tx2">
            <a:lumMod val="60000"/>
            <a:lumOff val="40000"/>
          </a:schemeClr>
        </a:gs>
      </a:gsLst>
      <a:path path="circle">
        <a:fillToRect l="50000" t="-80000" r="50000" b="180000"/>
      </a:path>
    </a:gradFill>
    <a:ln w="19050"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824201409729793E-2"/>
          <c:y val="0.15923340269495334"/>
          <c:w val="0.80789551228613599"/>
          <c:h val="0.72199079482236062"/>
        </c:manualLayout>
      </c:layout>
      <c:radarChart>
        <c:radarStyle val="marker"/>
        <c:varyColors val="0"/>
        <c:ser>
          <c:idx val="0"/>
          <c:order val="0"/>
          <c:tx>
            <c:strRef>
              <c:f>Progress!$C$9</c:f>
              <c:strCache>
                <c:ptCount val="1"/>
                <c:pt idx="0">
                  <c:v>Start</c:v>
                </c:pt>
              </c:strCache>
            </c:strRef>
          </c:tx>
          <c:spPr>
            <a:ln w="28575" cap="rnd">
              <a:solidFill>
                <a:schemeClr val="accent1"/>
              </a:solidFill>
              <a:round/>
            </a:ln>
            <a:effectLst/>
          </c:spPr>
          <c:marker>
            <c:symbol val="none"/>
          </c:marker>
          <c:cat>
            <c:strRef>
              <c:extLst>
                <c:ext xmlns:c15="http://schemas.microsoft.com/office/drawing/2012/chart" uri="{02D57815-91ED-43cb-92C2-25804820EDAC}">
                  <c15:fullRef>
                    <c15:sqref>Progress!$B$10:$B$31</c15:sqref>
                  </c15:fullRef>
                </c:ext>
              </c:extLst>
              <c:f>(Progress!$B$12,Progress!$B$16,Progress!$B$21,Progress!$B$25,Progress!$B$31)</c:f>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Progress!$C$10:$C$31</c15:sqref>
                  </c15:fullRef>
                </c:ext>
              </c:extLst>
              <c:f>(Progress!$C$12,Progress!$C$16,Progress!$C$21,Progress!$C$25,Progress!$C$31)</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4D10-4920-A70C-B30EEFF99335}"/>
            </c:ext>
          </c:extLst>
        </c:ser>
        <c:ser>
          <c:idx val="5"/>
          <c:order val="5"/>
          <c:tx>
            <c:strRef>
              <c:f>Progress!$H$9</c:f>
              <c:strCache>
                <c:ptCount val="1"/>
                <c:pt idx="0">
                  <c:v>Y1 Average</c:v>
                </c:pt>
              </c:strCache>
            </c:strRef>
          </c:tx>
          <c:spPr>
            <a:ln w="28575" cap="rnd">
              <a:solidFill>
                <a:schemeClr val="accent6"/>
              </a:solidFill>
              <a:round/>
            </a:ln>
            <a:effectLst/>
          </c:spPr>
          <c:marker>
            <c:symbol val="none"/>
          </c:marker>
          <c:cat>
            <c:strRef>
              <c:extLst>
                <c:ext xmlns:c15="http://schemas.microsoft.com/office/drawing/2012/chart" uri="{02D57815-91ED-43cb-92C2-25804820EDAC}">
                  <c15:fullRef>
                    <c15:sqref>Progress!$B$10:$B$31</c15:sqref>
                  </c15:fullRef>
                </c:ext>
              </c:extLst>
              <c:f>(Progress!$B$12,Progress!$B$16,Progress!$B$21,Progress!$B$25,Progress!$B$31)</c:f>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Progress!$H$10:$H$31</c15:sqref>
                  </c15:fullRef>
                </c:ext>
              </c:extLst>
              <c:f>(Progress!$H$12,Progress!$H$16,Progress!$H$21,Progress!$H$25,Progress!$H$31)</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4D10-4920-A70C-B30EEFF99335}"/>
            </c:ext>
          </c:extLst>
        </c:ser>
        <c:ser>
          <c:idx val="10"/>
          <c:order val="10"/>
          <c:tx>
            <c:strRef>
              <c:f>Progress!$M$9</c:f>
              <c:strCache>
                <c:ptCount val="1"/>
                <c:pt idx="0">
                  <c:v>Y2 Average</c:v>
                </c:pt>
              </c:strCache>
            </c:strRef>
          </c:tx>
          <c:spPr>
            <a:ln w="28575" cap="rnd">
              <a:solidFill>
                <a:schemeClr val="accent5">
                  <a:lumMod val="60000"/>
                </a:schemeClr>
              </a:solidFill>
              <a:round/>
            </a:ln>
            <a:effectLst/>
          </c:spPr>
          <c:marker>
            <c:symbol val="none"/>
          </c:marker>
          <c:cat>
            <c:strRef>
              <c:extLst>
                <c:ext xmlns:c15="http://schemas.microsoft.com/office/drawing/2012/chart" uri="{02D57815-91ED-43cb-92C2-25804820EDAC}">
                  <c15:fullRef>
                    <c15:sqref>Progress!$B$10:$B$31</c15:sqref>
                  </c15:fullRef>
                </c:ext>
              </c:extLst>
              <c:f>(Progress!$B$12,Progress!$B$16,Progress!$B$21,Progress!$B$25,Progress!$B$31)</c:f>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Progress!$M$10:$M$31</c15:sqref>
                  </c15:fullRef>
                </c:ext>
              </c:extLst>
              <c:f>(Progress!$M$12,Progress!$M$16,Progress!$M$21,Progress!$M$25,Progress!$M$31)</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2-4D10-4920-A70C-B30EEFF99335}"/>
            </c:ext>
          </c:extLst>
        </c:ser>
        <c:ser>
          <c:idx val="15"/>
          <c:order val="15"/>
          <c:tx>
            <c:strRef>
              <c:f>Progress!$R$9</c:f>
              <c:strCache>
                <c:ptCount val="1"/>
                <c:pt idx="0">
                  <c:v>Y3 Average</c:v>
                </c:pt>
              </c:strCache>
            </c:strRef>
          </c:tx>
          <c:spPr>
            <a:ln w="28575" cap="rnd">
              <a:solidFill>
                <a:schemeClr val="accent4">
                  <a:lumMod val="80000"/>
                  <a:lumOff val="20000"/>
                </a:schemeClr>
              </a:solidFill>
              <a:round/>
            </a:ln>
            <a:effectLst/>
          </c:spPr>
          <c:marker>
            <c:symbol val="none"/>
          </c:marker>
          <c:cat>
            <c:strRef>
              <c:extLst>
                <c:ext xmlns:c15="http://schemas.microsoft.com/office/drawing/2012/chart" uri="{02D57815-91ED-43cb-92C2-25804820EDAC}">
                  <c15:fullRef>
                    <c15:sqref>Progress!$B$10:$B$31</c15:sqref>
                  </c15:fullRef>
                </c:ext>
              </c:extLst>
              <c:f>(Progress!$B$12,Progress!$B$16,Progress!$B$21,Progress!$B$25,Progress!$B$31)</c:f>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Progress!$R$10:$R$31</c15:sqref>
                  </c15:fullRef>
                </c:ext>
              </c:extLst>
              <c:f>(Progress!$R$12,Progress!$R$16,Progress!$R$21,Progress!$R$25,Progress!$R$31)</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3-4D10-4920-A70C-B30EEFF99335}"/>
            </c:ext>
          </c:extLst>
        </c:ser>
        <c:ser>
          <c:idx val="20"/>
          <c:order val="20"/>
          <c:tx>
            <c:strRef>
              <c:f>Progress!$W$9</c:f>
              <c:strCache>
                <c:ptCount val="1"/>
                <c:pt idx="0">
                  <c:v>Y4 Average</c:v>
                </c:pt>
              </c:strCache>
            </c:strRef>
          </c:tx>
          <c:spPr>
            <a:ln w="28575" cap="rnd">
              <a:solidFill>
                <a:schemeClr val="accent3">
                  <a:lumMod val="80000"/>
                </a:schemeClr>
              </a:solidFill>
              <a:round/>
            </a:ln>
            <a:effectLst/>
          </c:spPr>
          <c:marker>
            <c:symbol val="none"/>
          </c:marker>
          <c:cat>
            <c:strRef>
              <c:extLst>
                <c:ext xmlns:c15="http://schemas.microsoft.com/office/drawing/2012/chart" uri="{02D57815-91ED-43cb-92C2-25804820EDAC}">
                  <c15:fullRef>
                    <c15:sqref>Progress!$B$10:$B$31</c15:sqref>
                  </c15:fullRef>
                </c:ext>
              </c:extLst>
              <c:f>(Progress!$B$12,Progress!$B$16,Progress!$B$21,Progress!$B$25,Progress!$B$31)</c:f>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Progress!$W$10:$W$31</c15:sqref>
                  </c15:fullRef>
                </c:ext>
              </c:extLst>
              <c:f>(Progress!$W$12,Progress!$W$16,Progress!$W$21,Progress!$W$25,Progress!$W$31)</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4-4D10-4920-A70C-B30EEFF99335}"/>
            </c:ext>
          </c:extLst>
        </c:ser>
        <c:ser>
          <c:idx val="25"/>
          <c:order val="25"/>
          <c:tx>
            <c:strRef>
              <c:f>Progress!$AB$9</c:f>
              <c:strCache>
                <c:ptCount val="1"/>
                <c:pt idx="0">
                  <c:v>Y5 Average</c:v>
                </c:pt>
              </c:strCache>
            </c:strRef>
          </c:tx>
          <c:spPr>
            <a:ln w="28575" cap="rnd">
              <a:solidFill>
                <a:schemeClr val="accent2">
                  <a:lumMod val="60000"/>
                  <a:lumOff val="40000"/>
                </a:schemeClr>
              </a:solidFill>
              <a:round/>
            </a:ln>
            <a:effectLst/>
          </c:spPr>
          <c:marker>
            <c:symbol val="none"/>
          </c:marker>
          <c:cat>
            <c:strRef>
              <c:extLst>
                <c:ext xmlns:c15="http://schemas.microsoft.com/office/drawing/2012/chart" uri="{02D57815-91ED-43cb-92C2-25804820EDAC}">
                  <c15:fullRef>
                    <c15:sqref>Progress!$B$10:$B$31</c15:sqref>
                  </c15:fullRef>
                </c:ext>
              </c:extLst>
              <c:f>(Progress!$B$12,Progress!$B$16,Progress!$B$21,Progress!$B$25,Progress!$B$31)</c:f>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Progress!$AB$10:$AB$31</c15:sqref>
                  </c15:fullRef>
                </c:ext>
              </c:extLst>
              <c:f>(Progress!$AB$12,Progress!$AB$16,Progress!$AB$21,Progress!$AB$25,Progress!$AB$31)</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4D10-4920-A70C-B30EEFF99335}"/>
            </c:ext>
          </c:extLst>
        </c:ser>
        <c:ser>
          <c:idx val="30"/>
          <c:order val="30"/>
          <c:tx>
            <c:strRef>
              <c:f>Progress!$AG$9</c:f>
              <c:strCache>
                <c:ptCount val="1"/>
                <c:pt idx="0">
                  <c:v>Y6 Average</c:v>
                </c:pt>
              </c:strCache>
            </c:strRef>
          </c:tx>
          <c:spPr>
            <a:ln w="28575" cap="rnd">
              <a:solidFill>
                <a:schemeClr val="accent1">
                  <a:lumMod val="50000"/>
                </a:schemeClr>
              </a:solidFill>
              <a:round/>
            </a:ln>
            <a:effectLst/>
          </c:spPr>
          <c:marker>
            <c:symbol val="none"/>
          </c:marker>
          <c:cat>
            <c:strRef>
              <c:extLst>
                <c:ext xmlns:c15="http://schemas.microsoft.com/office/drawing/2012/chart" uri="{02D57815-91ED-43cb-92C2-25804820EDAC}">
                  <c15:fullRef>
                    <c15:sqref>Progress!$B$10:$B$31</c15:sqref>
                  </c15:fullRef>
                </c:ext>
              </c:extLst>
              <c:f>(Progress!$B$12,Progress!$B$16,Progress!$B$21,Progress!$B$25,Progress!$B$31)</c:f>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Progress!$AG$10:$AG$31</c15:sqref>
                  </c15:fullRef>
                </c:ext>
              </c:extLst>
              <c:f>(Progress!$AG$12,Progress!$AG$16,Progress!$AG$21,Progress!$AG$25,Progress!$AG$31)</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6-4D10-4920-A70C-B30EEFF99335}"/>
            </c:ext>
          </c:extLst>
        </c:ser>
        <c:dLbls>
          <c:showLegendKey val="0"/>
          <c:showVal val="0"/>
          <c:showCatName val="0"/>
          <c:showSerName val="0"/>
          <c:showPercent val="0"/>
          <c:showBubbleSize val="0"/>
        </c:dLbls>
        <c:axId val="215388056"/>
        <c:axId val="215387664"/>
        <c:extLst>
          <c:ext xmlns:c15="http://schemas.microsoft.com/office/drawing/2012/chart" uri="{02D57815-91ED-43cb-92C2-25804820EDAC}">
            <c15:filteredRadarSeries>
              <c15:ser>
                <c:idx val="1"/>
                <c:order val="1"/>
                <c:tx>
                  <c:strRef>
                    <c:extLst>
                      <c:ext uri="{02D57815-91ED-43cb-92C2-25804820EDAC}">
                        <c15:formulaRef>
                          <c15:sqref>Progress!$D$9</c15:sqref>
                        </c15:formulaRef>
                      </c:ext>
                    </c:extLst>
                    <c:strCache>
                      <c:ptCount val="1"/>
                      <c:pt idx="0">
                        <c:v>Report 1</c:v>
                      </c:pt>
                    </c:strCache>
                  </c:strRef>
                </c:tx>
                <c:spPr>
                  <a:ln w="28575" cap="rnd">
                    <a:solidFill>
                      <a:schemeClr val="accent2"/>
                    </a:solidFill>
                    <a:round/>
                  </a:ln>
                  <a:effectLst/>
                </c:spPr>
                <c:marker>
                  <c:symbol val="none"/>
                </c:marker>
                <c:cat>
                  <c:strRef>
                    <c:extLst>
                      <c:ex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uri="{02D57815-91ED-43cb-92C2-25804820EDAC}">
                        <c15:fullRef>
                          <c15:sqref>Progress!$D$10:$D$31</c15:sqref>
                        </c15:fullRef>
                        <c15:formulaRef>
                          <c15:sqref>(Progress!$D$12,Progress!$D$16,Progress!$D$21,Progress!$D$25,Progress!$D$31)</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7-4D10-4920-A70C-B30EEFF99335}"/>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Progress!$E$9</c15:sqref>
                        </c15:formulaRef>
                      </c:ext>
                    </c:extLst>
                    <c:strCache>
                      <c:ptCount val="1"/>
                      <c:pt idx="0">
                        <c:v>Report 2</c:v>
                      </c:pt>
                    </c:strCache>
                  </c:strRef>
                </c:tx>
                <c:spPr>
                  <a:ln w="28575" cap="rnd">
                    <a:solidFill>
                      <a:schemeClr val="accent3"/>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Progress!$E$10:$E$31</c15:sqref>
                        </c15:fullRef>
                        <c15:formulaRef>
                          <c15:sqref>(Progress!$E$12,Progress!$E$16,Progress!$E$21,Progress!$E$25,Progress!$E$31)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8-4D10-4920-A70C-B30EEFF99335}"/>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Progress!$F$9</c15:sqref>
                        </c15:formulaRef>
                      </c:ext>
                    </c:extLst>
                    <c:strCache>
                      <c:ptCount val="1"/>
                      <c:pt idx="0">
                        <c:v>Report 3 </c:v>
                      </c:pt>
                    </c:strCache>
                  </c:strRef>
                </c:tx>
                <c:spPr>
                  <a:ln w="28575" cap="rnd">
                    <a:solidFill>
                      <a:schemeClr val="accent4"/>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Progress!$F$10:$F$31</c15:sqref>
                        </c15:fullRef>
                        <c15:formulaRef>
                          <c15:sqref>(Progress!$F$12,Progress!$F$16,Progress!$F$21,Progress!$F$25,Progress!$F$31)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9-4D10-4920-A70C-B30EEFF99335}"/>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Progress!$G$9</c15:sqref>
                        </c15:formulaRef>
                      </c:ext>
                    </c:extLst>
                    <c:strCache>
                      <c:ptCount val="1"/>
                      <c:pt idx="0">
                        <c:v>Report 4</c:v>
                      </c:pt>
                    </c:strCache>
                  </c:strRef>
                </c:tx>
                <c:spPr>
                  <a:ln w="28575" cap="rnd">
                    <a:solidFill>
                      <a:schemeClr val="accent5"/>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Progress!$G$10:$G$31</c15:sqref>
                        </c15:fullRef>
                        <c15:formulaRef>
                          <c15:sqref>(Progress!$G$12,Progress!$G$16,Progress!$G$21,Progress!$G$25,Progress!$G$31)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A-4D10-4920-A70C-B30EEFF99335}"/>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Progress!$I$9</c15:sqref>
                        </c15:formulaRef>
                      </c:ext>
                    </c:extLst>
                    <c:strCache>
                      <c:ptCount val="1"/>
                      <c:pt idx="0">
                        <c:v>Report 1</c:v>
                      </c:pt>
                    </c:strCache>
                  </c:strRef>
                </c:tx>
                <c:spPr>
                  <a:ln w="28575" cap="rnd">
                    <a:solidFill>
                      <a:schemeClr val="accent1">
                        <a:lumMod val="6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Progress!$I$10:$I$31</c15:sqref>
                        </c15:fullRef>
                        <c15:formulaRef>
                          <c15:sqref>(Progress!$I$12,Progress!$I$16,Progress!$I$21,Progress!$I$25,Progress!$I$31)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B-4D10-4920-A70C-B30EEFF99335}"/>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Progress!$J$9</c15:sqref>
                        </c15:formulaRef>
                      </c:ext>
                    </c:extLst>
                    <c:strCache>
                      <c:ptCount val="1"/>
                      <c:pt idx="0">
                        <c:v>Report 2</c:v>
                      </c:pt>
                    </c:strCache>
                  </c:strRef>
                </c:tx>
                <c:spPr>
                  <a:ln w="28575" cap="rnd">
                    <a:solidFill>
                      <a:schemeClr val="accent2">
                        <a:lumMod val="6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Progress!$J$10:$J$31</c15:sqref>
                        </c15:fullRef>
                        <c15:formulaRef>
                          <c15:sqref>(Progress!$J$12,Progress!$J$16,Progress!$J$21,Progress!$J$25,Progress!$J$31)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C-4D10-4920-A70C-B30EEFF99335}"/>
                  </c:ext>
                </c:extLst>
              </c15:ser>
            </c15:filteredRadarSeries>
            <c15:filteredRadarSeries>
              <c15:ser>
                <c:idx val="8"/>
                <c:order val="8"/>
                <c:tx>
                  <c:strRef>
                    <c:extLst xmlns:c15="http://schemas.microsoft.com/office/drawing/2012/chart">
                      <c:ext xmlns:c15="http://schemas.microsoft.com/office/drawing/2012/chart" uri="{02D57815-91ED-43cb-92C2-25804820EDAC}">
                        <c15:formulaRef>
                          <c15:sqref>Progress!$K$9</c15:sqref>
                        </c15:formulaRef>
                      </c:ext>
                    </c:extLst>
                    <c:strCache>
                      <c:ptCount val="1"/>
                      <c:pt idx="0">
                        <c:v>Report 3 </c:v>
                      </c:pt>
                    </c:strCache>
                  </c:strRef>
                </c:tx>
                <c:spPr>
                  <a:ln w="28575" cap="rnd">
                    <a:solidFill>
                      <a:schemeClr val="accent3">
                        <a:lumMod val="6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Progress!$K$10:$K$31</c15:sqref>
                        </c15:fullRef>
                        <c15:formulaRef>
                          <c15:sqref>(Progress!$K$12,Progress!$K$16,Progress!$K$21,Progress!$K$25,Progress!$K$31)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D-4D10-4920-A70C-B30EEFF99335}"/>
                  </c:ext>
                </c:extLst>
              </c15:ser>
            </c15:filteredRadarSeries>
            <c15:filteredRadarSeries>
              <c15:ser>
                <c:idx val="9"/>
                <c:order val="9"/>
                <c:tx>
                  <c:strRef>
                    <c:extLst xmlns:c15="http://schemas.microsoft.com/office/drawing/2012/chart">
                      <c:ext xmlns:c15="http://schemas.microsoft.com/office/drawing/2012/chart" uri="{02D57815-91ED-43cb-92C2-25804820EDAC}">
                        <c15:formulaRef>
                          <c15:sqref>Progress!$L$9</c15:sqref>
                        </c15:formulaRef>
                      </c:ext>
                    </c:extLst>
                    <c:strCache>
                      <c:ptCount val="1"/>
                      <c:pt idx="0">
                        <c:v>Report 4</c:v>
                      </c:pt>
                    </c:strCache>
                  </c:strRef>
                </c:tx>
                <c:spPr>
                  <a:ln w="28575" cap="rnd">
                    <a:solidFill>
                      <a:schemeClr val="accent4">
                        <a:lumMod val="6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Progress!$L$10:$L$31</c15:sqref>
                        </c15:fullRef>
                        <c15:formulaRef>
                          <c15:sqref>(Progress!$L$12,Progress!$L$16,Progress!$L$21,Progress!$L$25,Progress!$L$31)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E-4D10-4920-A70C-B30EEFF99335}"/>
                  </c:ext>
                </c:extLst>
              </c15:ser>
            </c15:filteredRadarSeries>
            <c15:filteredRadarSeries>
              <c15:ser>
                <c:idx val="11"/>
                <c:order val="11"/>
                <c:tx>
                  <c:strRef>
                    <c:extLst xmlns:c15="http://schemas.microsoft.com/office/drawing/2012/chart">
                      <c:ext xmlns:c15="http://schemas.microsoft.com/office/drawing/2012/chart" uri="{02D57815-91ED-43cb-92C2-25804820EDAC}">
                        <c15:formulaRef>
                          <c15:sqref>Progress!$N$9</c15:sqref>
                        </c15:formulaRef>
                      </c:ext>
                    </c:extLst>
                    <c:strCache>
                      <c:ptCount val="1"/>
                      <c:pt idx="0">
                        <c:v>Report 1</c:v>
                      </c:pt>
                    </c:strCache>
                  </c:strRef>
                </c:tx>
                <c:spPr>
                  <a:ln w="28575" cap="rnd">
                    <a:solidFill>
                      <a:schemeClr val="accent6">
                        <a:lumMod val="6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Progress!$N$10:$N$31</c15:sqref>
                        </c15:fullRef>
                        <c15:formulaRef>
                          <c15:sqref>(Progress!$N$12,Progress!$N$16,Progress!$N$21,Progress!$N$25,Progress!$N$31)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F-4D10-4920-A70C-B30EEFF99335}"/>
                  </c:ext>
                </c:extLst>
              </c15:ser>
            </c15:filteredRadarSeries>
            <c15:filteredRadarSeries>
              <c15:ser>
                <c:idx val="12"/>
                <c:order val="12"/>
                <c:tx>
                  <c:strRef>
                    <c:extLst xmlns:c15="http://schemas.microsoft.com/office/drawing/2012/chart">
                      <c:ext xmlns:c15="http://schemas.microsoft.com/office/drawing/2012/chart" uri="{02D57815-91ED-43cb-92C2-25804820EDAC}">
                        <c15:formulaRef>
                          <c15:sqref>Progress!$O$9</c15:sqref>
                        </c15:formulaRef>
                      </c:ext>
                    </c:extLst>
                    <c:strCache>
                      <c:ptCount val="1"/>
                      <c:pt idx="0">
                        <c:v>Report 2</c:v>
                      </c:pt>
                    </c:strCache>
                  </c:strRef>
                </c:tx>
                <c:spPr>
                  <a:ln w="28575" cap="rnd">
                    <a:solidFill>
                      <a:schemeClr val="accent1">
                        <a:lumMod val="80000"/>
                        <a:lumOff val="2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Progress!$O$10:$O$31</c15:sqref>
                        </c15:fullRef>
                        <c15:formulaRef>
                          <c15:sqref>(Progress!$O$12,Progress!$O$16,Progress!$O$21,Progress!$O$25,Progress!$O$31)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10-4D10-4920-A70C-B30EEFF99335}"/>
                  </c:ext>
                </c:extLst>
              </c15:ser>
            </c15:filteredRadarSeries>
            <c15:filteredRadarSeries>
              <c15:ser>
                <c:idx val="13"/>
                <c:order val="13"/>
                <c:tx>
                  <c:strRef>
                    <c:extLst xmlns:c15="http://schemas.microsoft.com/office/drawing/2012/chart">
                      <c:ext xmlns:c15="http://schemas.microsoft.com/office/drawing/2012/chart" uri="{02D57815-91ED-43cb-92C2-25804820EDAC}">
                        <c15:formulaRef>
                          <c15:sqref>Progress!$P$9</c15:sqref>
                        </c15:formulaRef>
                      </c:ext>
                    </c:extLst>
                    <c:strCache>
                      <c:ptCount val="1"/>
                      <c:pt idx="0">
                        <c:v>Report 3 </c:v>
                      </c:pt>
                    </c:strCache>
                  </c:strRef>
                </c:tx>
                <c:spPr>
                  <a:ln w="28575" cap="rnd">
                    <a:solidFill>
                      <a:schemeClr val="accent2">
                        <a:lumMod val="80000"/>
                        <a:lumOff val="2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Progress!$P$10:$P$31</c15:sqref>
                        </c15:fullRef>
                        <c15:formulaRef>
                          <c15:sqref>(Progress!$P$12,Progress!$P$16,Progress!$P$21,Progress!$P$25,Progress!$P$31)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11-4D10-4920-A70C-B30EEFF99335}"/>
                  </c:ext>
                </c:extLst>
              </c15:ser>
            </c15:filteredRadarSeries>
            <c15:filteredRadarSeries>
              <c15:ser>
                <c:idx val="14"/>
                <c:order val="14"/>
                <c:tx>
                  <c:strRef>
                    <c:extLst xmlns:c15="http://schemas.microsoft.com/office/drawing/2012/chart">
                      <c:ext xmlns:c15="http://schemas.microsoft.com/office/drawing/2012/chart" uri="{02D57815-91ED-43cb-92C2-25804820EDAC}">
                        <c15:formulaRef>
                          <c15:sqref>Progress!$Q$9</c15:sqref>
                        </c15:formulaRef>
                      </c:ext>
                    </c:extLst>
                    <c:strCache>
                      <c:ptCount val="1"/>
                      <c:pt idx="0">
                        <c:v>Report 4</c:v>
                      </c:pt>
                    </c:strCache>
                  </c:strRef>
                </c:tx>
                <c:spPr>
                  <a:ln w="28575" cap="rnd">
                    <a:solidFill>
                      <a:schemeClr val="accent3">
                        <a:lumMod val="80000"/>
                        <a:lumOff val="2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Progress!$Q$10:$Q$31</c15:sqref>
                        </c15:fullRef>
                        <c15:formulaRef>
                          <c15:sqref>(Progress!$Q$12,Progress!$Q$16,Progress!$Q$21,Progress!$Q$25,Progress!$Q$31)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12-4D10-4920-A70C-B30EEFF99335}"/>
                  </c:ext>
                </c:extLst>
              </c15:ser>
            </c15:filteredRadarSeries>
            <c15:filteredRadarSeries>
              <c15:ser>
                <c:idx val="16"/>
                <c:order val="16"/>
                <c:tx>
                  <c:strRef>
                    <c:extLst xmlns:c15="http://schemas.microsoft.com/office/drawing/2012/chart">
                      <c:ext xmlns:c15="http://schemas.microsoft.com/office/drawing/2012/chart" uri="{02D57815-91ED-43cb-92C2-25804820EDAC}">
                        <c15:formulaRef>
                          <c15:sqref>Progress!$S$9</c15:sqref>
                        </c15:formulaRef>
                      </c:ext>
                    </c:extLst>
                    <c:strCache>
                      <c:ptCount val="1"/>
                      <c:pt idx="0">
                        <c:v>Report 1</c:v>
                      </c:pt>
                    </c:strCache>
                  </c:strRef>
                </c:tx>
                <c:spPr>
                  <a:ln w="28575" cap="rnd">
                    <a:solidFill>
                      <a:schemeClr val="accent5">
                        <a:lumMod val="80000"/>
                        <a:lumOff val="2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Progress!$S$10:$S$31</c15:sqref>
                        </c15:fullRef>
                        <c15:formulaRef>
                          <c15:sqref>(Progress!$S$12,Progress!$S$16,Progress!$S$21,Progress!$S$25,Progress!$S$31)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13-4D10-4920-A70C-B30EEFF99335}"/>
                  </c:ext>
                </c:extLst>
              </c15:ser>
            </c15:filteredRadarSeries>
            <c15:filteredRadarSeries>
              <c15:ser>
                <c:idx val="17"/>
                <c:order val="17"/>
                <c:tx>
                  <c:strRef>
                    <c:extLst xmlns:c15="http://schemas.microsoft.com/office/drawing/2012/chart">
                      <c:ext xmlns:c15="http://schemas.microsoft.com/office/drawing/2012/chart" uri="{02D57815-91ED-43cb-92C2-25804820EDAC}">
                        <c15:formulaRef>
                          <c15:sqref>Progress!$T$9</c15:sqref>
                        </c15:formulaRef>
                      </c:ext>
                    </c:extLst>
                    <c:strCache>
                      <c:ptCount val="1"/>
                      <c:pt idx="0">
                        <c:v>Report 2</c:v>
                      </c:pt>
                    </c:strCache>
                  </c:strRef>
                </c:tx>
                <c:spPr>
                  <a:ln w="28575" cap="rnd">
                    <a:solidFill>
                      <a:schemeClr val="accent6">
                        <a:lumMod val="80000"/>
                        <a:lumOff val="2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Progress!$T$10:$T$31</c15:sqref>
                        </c15:fullRef>
                        <c15:formulaRef>
                          <c15:sqref>(Progress!$T$12,Progress!$T$16,Progress!$T$21,Progress!$T$25,Progress!$T$31)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14-4D10-4920-A70C-B30EEFF99335}"/>
                  </c:ext>
                </c:extLst>
              </c15:ser>
            </c15:filteredRadarSeries>
            <c15:filteredRadarSeries>
              <c15:ser>
                <c:idx val="18"/>
                <c:order val="18"/>
                <c:tx>
                  <c:strRef>
                    <c:extLst xmlns:c15="http://schemas.microsoft.com/office/drawing/2012/chart">
                      <c:ext xmlns:c15="http://schemas.microsoft.com/office/drawing/2012/chart" uri="{02D57815-91ED-43cb-92C2-25804820EDAC}">
                        <c15:formulaRef>
                          <c15:sqref>Progress!$U$9</c15:sqref>
                        </c15:formulaRef>
                      </c:ext>
                    </c:extLst>
                    <c:strCache>
                      <c:ptCount val="1"/>
                      <c:pt idx="0">
                        <c:v>Report 3 </c:v>
                      </c:pt>
                    </c:strCache>
                  </c:strRef>
                </c:tx>
                <c:spPr>
                  <a:ln w="28575" cap="rnd">
                    <a:solidFill>
                      <a:schemeClr val="accent1">
                        <a:lumMod val="8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Progress!$U$10:$U$31</c15:sqref>
                        </c15:fullRef>
                        <c15:formulaRef>
                          <c15:sqref>(Progress!$U$12,Progress!$U$16,Progress!$U$21,Progress!$U$25,Progress!$U$31)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15-4D10-4920-A70C-B30EEFF99335}"/>
                  </c:ext>
                </c:extLst>
              </c15:ser>
            </c15:filteredRadarSeries>
            <c15:filteredRadarSeries>
              <c15:ser>
                <c:idx val="19"/>
                <c:order val="19"/>
                <c:tx>
                  <c:strRef>
                    <c:extLst xmlns:c15="http://schemas.microsoft.com/office/drawing/2012/chart">
                      <c:ext xmlns:c15="http://schemas.microsoft.com/office/drawing/2012/chart" uri="{02D57815-91ED-43cb-92C2-25804820EDAC}">
                        <c15:formulaRef>
                          <c15:sqref>Progress!$V$9</c15:sqref>
                        </c15:formulaRef>
                      </c:ext>
                    </c:extLst>
                    <c:strCache>
                      <c:ptCount val="1"/>
                      <c:pt idx="0">
                        <c:v>Report 4</c:v>
                      </c:pt>
                    </c:strCache>
                  </c:strRef>
                </c:tx>
                <c:spPr>
                  <a:ln w="28575" cap="rnd">
                    <a:solidFill>
                      <a:schemeClr val="accent2">
                        <a:lumMod val="8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Progress!$V$10:$V$31</c15:sqref>
                        </c15:fullRef>
                        <c15:formulaRef>
                          <c15:sqref>(Progress!$V$12,Progress!$V$16,Progress!$V$21,Progress!$V$25,Progress!$V$31)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16-4D10-4920-A70C-B30EEFF99335}"/>
                  </c:ext>
                </c:extLst>
              </c15:ser>
            </c15:filteredRadarSeries>
            <c15:filteredRadarSeries>
              <c15:ser>
                <c:idx val="21"/>
                <c:order val="21"/>
                <c:tx>
                  <c:strRef>
                    <c:extLst xmlns:c15="http://schemas.microsoft.com/office/drawing/2012/chart">
                      <c:ext xmlns:c15="http://schemas.microsoft.com/office/drawing/2012/chart" uri="{02D57815-91ED-43cb-92C2-25804820EDAC}">
                        <c15:formulaRef>
                          <c15:sqref>Progress!$X$9</c15:sqref>
                        </c15:formulaRef>
                      </c:ext>
                    </c:extLst>
                    <c:strCache>
                      <c:ptCount val="1"/>
                      <c:pt idx="0">
                        <c:v>Report 1</c:v>
                      </c:pt>
                    </c:strCache>
                  </c:strRef>
                </c:tx>
                <c:spPr>
                  <a:ln w="28575" cap="rnd">
                    <a:solidFill>
                      <a:schemeClr val="accent4">
                        <a:lumMod val="8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Progress!$X$10:$X$31</c15:sqref>
                        </c15:fullRef>
                        <c15:formulaRef>
                          <c15:sqref>(Progress!$X$12,Progress!$X$16,Progress!$X$21,Progress!$X$25,Progress!$X$31)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17-4D10-4920-A70C-B30EEFF99335}"/>
                  </c:ext>
                </c:extLst>
              </c15:ser>
            </c15:filteredRadarSeries>
            <c15:filteredRadarSeries>
              <c15:ser>
                <c:idx val="22"/>
                <c:order val="22"/>
                <c:tx>
                  <c:strRef>
                    <c:extLst xmlns:c15="http://schemas.microsoft.com/office/drawing/2012/chart">
                      <c:ext xmlns:c15="http://schemas.microsoft.com/office/drawing/2012/chart" uri="{02D57815-91ED-43cb-92C2-25804820EDAC}">
                        <c15:formulaRef>
                          <c15:sqref>Progress!$Y$9</c15:sqref>
                        </c15:formulaRef>
                      </c:ext>
                    </c:extLst>
                    <c:strCache>
                      <c:ptCount val="1"/>
                      <c:pt idx="0">
                        <c:v>Report 2</c:v>
                      </c:pt>
                    </c:strCache>
                  </c:strRef>
                </c:tx>
                <c:spPr>
                  <a:ln w="28575" cap="rnd">
                    <a:solidFill>
                      <a:schemeClr val="accent5">
                        <a:lumMod val="8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Progress!$Y$10:$Y$31</c15:sqref>
                        </c15:fullRef>
                        <c15:formulaRef>
                          <c15:sqref>(Progress!$Y$12,Progress!$Y$16,Progress!$Y$21,Progress!$Y$25,Progress!$Y$31)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18-4D10-4920-A70C-B30EEFF99335}"/>
                  </c:ext>
                </c:extLst>
              </c15:ser>
            </c15:filteredRadarSeries>
            <c15:filteredRadarSeries>
              <c15:ser>
                <c:idx val="23"/>
                <c:order val="23"/>
                <c:tx>
                  <c:strRef>
                    <c:extLst xmlns:c15="http://schemas.microsoft.com/office/drawing/2012/chart">
                      <c:ext xmlns:c15="http://schemas.microsoft.com/office/drawing/2012/chart" uri="{02D57815-91ED-43cb-92C2-25804820EDAC}">
                        <c15:formulaRef>
                          <c15:sqref>Progress!$Z$9</c15:sqref>
                        </c15:formulaRef>
                      </c:ext>
                    </c:extLst>
                    <c:strCache>
                      <c:ptCount val="1"/>
                      <c:pt idx="0">
                        <c:v>Report 3 </c:v>
                      </c:pt>
                    </c:strCache>
                  </c:strRef>
                </c:tx>
                <c:spPr>
                  <a:ln w="28575" cap="rnd">
                    <a:solidFill>
                      <a:schemeClr val="accent6">
                        <a:lumMod val="8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Progress!$Z$10:$Z$31</c15:sqref>
                        </c15:fullRef>
                        <c15:formulaRef>
                          <c15:sqref>(Progress!$Z$12,Progress!$Z$16,Progress!$Z$21,Progress!$Z$25,Progress!$Z$31)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19-4D10-4920-A70C-B30EEFF99335}"/>
                  </c:ext>
                </c:extLst>
              </c15:ser>
            </c15:filteredRadarSeries>
            <c15:filteredRadarSeries>
              <c15:ser>
                <c:idx val="24"/>
                <c:order val="24"/>
                <c:tx>
                  <c:strRef>
                    <c:extLst xmlns:c15="http://schemas.microsoft.com/office/drawing/2012/chart">
                      <c:ext xmlns:c15="http://schemas.microsoft.com/office/drawing/2012/chart" uri="{02D57815-91ED-43cb-92C2-25804820EDAC}">
                        <c15:formulaRef>
                          <c15:sqref>Progress!$AA$9</c15:sqref>
                        </c15:formulaRef>
                      </c:ext>
                    </c:extLst>
                    <c:strCache>
                      <c:ptCount val="1"/>
                      <c:pt idx="0">
                        <c:v>Report 4</c:v>
                      </c:pt>
                    </c:strCache>
                  </c:strRef>
                </c:tx>
                <c:spPr>
                  <a:ln w="28575" cap="rnd">
                    <a:solidFill>
                      <a:schemeClr val="accent1">
                        <a:lumMod val="60000"/>
                        <a:lumOff val="4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Progress!$AA$10:$AA$31</c15:sqref>
                        </c15:fullRef>
                        <c15:formulaRef>
                          <c15:sqref>(Progress!$AA$12,Progress!$AA$16,Progress!$AA$21,Progress!$AA$25,Progress!$AA$31)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1A-4D10-4920-A70C-B30EEFF99335}"/>
                  </c:ext>
                </c:extLst>
              </c15:ser>
            </c15:filteredRadarSeries>
            <c15:filteredRadarSeries>
              <c15:ser>
                <c:idx val="26"/>
                <c:order val="26"/>
                <c:tx>
                  <c:strRef>
                    <c:extLst xmlns:c15="http://schemas.microsoft.com/office/drawing/2012/chart">
                      <c:ext xmlns:c15="http://schemas.microsoft.com/office/drawing/2012/chart" uri="{02D57815-91ED-43cb-92C2-25804820EDAC}">
                        <c15:formulaRef>
                          <c15:sqref>Progress!$AC$9</c15:sqref>
                        </c15:formulaRef>
                      </c:ext>
                    </c:extLst>
                    <c:strCache>
                      <c:ptCount val="1"/>
                      <c:pt idx="0">
                        <c:v>Report 1</c:v>
                      </c:pt>
                    </c:strCache>
                  </c:strRef>
                </c:tx>
                <c:spPr>
                  <a:ln w="28575" cap="rnd">
                    <a:solidFill>
                      <a:schemeClr val="accent3">
                        <a:lumMod val="60000"/>
                        <a:lumOff val="4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Progress!$AC$10:$AC$31</c15:sqref>
                        </c15:fullRef>
                        <c15:formulaRef>
                          <c15:sqref>(Progress!$AC$12,Progress!$AC$16,Progress!$AC$21,Progress!$AC$25,Progress!$AC$31)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1B-4D10-4920-A70C-B30EEFF99335}"/>
                  </c:ext>
                </c:extLst>
              </c15:ser>
            </c15:filteredRadarSeries>
            <c15:filteredRadarSeries>
              <c15:ser>
                <c:idx val="27"/>
                <c:order val="27"/>
                <c:tx>
                  <c:strRef>
                    <c:extLst xmlns:c15="http://schemas.microsoft.com/office/drawing/2012/chart">
                      <c:ext xmlns:c15="http://schemas.microsoft.com/office/drawing/2012/chart" uri="{02D57815-91ED-43cb-92C2-25804820EDAC}">
                        <c15:formulaRef>
                          <c15:sqref>Progress!$AD$9</c15:sqref>
                        </c15:formulaRef>
                      </c:ext>
                    </c:extLst>
                    <c:strCache>
                      <c:ptCount val="1"/>
                      <c:pt idx="0">
                        <c:v>Report 2</c:v>
                      </c:pt>
                    </c:strCache>
                  </c:strRef>
                </c:tx>
                <c:spPr>
                  <a:ln w="28575" cap="rnd">
                    <a:solidFill>
                      <a:schemeClr val="accent4">
                        <a:lumMod val="60000"/>
                        <a:lumOff val="4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Progress!$AD$10:$AD$31</c15:sqref>
                        </c15:fullRef>
                        <c15:formulaRef>
                          <c15:sqref>(Progress!$AD$12,Progress!$AD$16,Progress!$AD$21,Progress!$AD$25,Progress!$AD$31)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1C-4D10-4920-A70C-B30EEFF99335}"/>
                  </c:ext>
                </c:extLst>
              </c15:ser>
            </c15:filteredRadarSeries>
            <c15:filteredRadarSeries>
              <c15:ser>
                <c:idx val="28"/>
                <c:order val="28"/>
                <c:tx>
                  <c:strRef>
                    <c:extLst xmlns:c15="http://schemas.microsoft.com/office/drawing/2012/chart">
                      <c:ext xmlns:c15="http://schemas.microsoft.com/office/drawing/2012/chart" uri="{02D57815-91ED-43cb-92C2-25804820EDAC}">
                        <c15:formulaRef>
                          <c15:sqref>Progress!$AE$9</c15:sqref>
                        </c15:formulaRef>
                      </c:ext>
                    </c:extLst>
                    <c:strCache>
                      <c:ptCount val="1"/>
                      <c:pt idx="0">
                        <c:v>Report 3 </c:v>
                      </c:pt>
                    </c:strCache>
                  </c:strRef>
                </c:tx>
                <c:spPr>
                  <a:ln w="28575" cap="rnd">
                    <a:solidFill>
                      <a:schemeClr val="accent5">
                        <a:lumMod val="60000"/>
                        <a:lumOff val="4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Progress!$AE$10:$AE$31</c15:sqref>
                        </c15:fullRef>
                        <c15:formulaRef>
                          <c15:sqref>(Progress!$AE$12,Progress!$AE$16,Progress!$AE$21,Progress!$AE$25,Progress!$AE$31)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1D-4D10-4920-A70C-B30EEFF99335}"/>
                  </c:ext>
                </c:extLst>
              </c15:ser>
            </c15:filteredRadarSeries>
            <c15:filteredRadarSeries>
              <c15:ser>
                <c:idx val="29"/>
                <c:order val="29"/>
                <c:tx>
                  <c:strRef>
                    <c:extLst xmlns:c15="http://schemas.microsoft.com/office/drawing/2012/chart">
                      <c:ext xmlns:c15="http://schemas.microsoft.com/office/drawing/2012/chart" uri="{02D57815-91ED-43cb-92C2-25804820EDAC}">
                        <c15:formulaRef>
                          <c15:sqref>Progress!$AF$9</c15:sqref>
                        </c15:formulaRef>
                      </c:ext>
                    </c:extLst>
                    <c:strCache>
                      <c:ptCount val="1"/>
                      <c:pt idx="0">
                        <c:v>Report 4</c:v>
                      </c:pt>
                    </c:strCache>
                  </c:strRef>
                </c:tx>
                <c:spPr>
                  <a:ln w="28575" cap="rnd">
                    <a:solidFill>
                      <a:schemeClr val="accent6">
                        <a:lumMod val="60000"/>
                        <a:lumOff val="4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Progress!$AF$10:$AF$31</c15:sqref>
                        </c15:fullRef>
                        <c15:formulaRef>
                          <c15:sqref>(Progress!$AF$12,Progress!$AF$16,Progress!$AF$21,Progress!$AF$25,Progress!$AF$31)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1E-4D10-4920-A70C-B30EEFF99335}"/>
                  </c:ext>
                </c:extLst>
              </c15:ser>
            </c15:filteredRadarSeries>
          </c:ext>
        </c:extLst>
      </c:radarChart>
      <c:catAx>
        <c:axId val="215388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crossAx val="215387664"/>
        <c:crosses val="autoZero"/>
        <c:auto val="1"/>
        <c:lblAlgn val="ctr"/>
        <c:lblOffset val="100"/>
        <c:noMultiLvlLbl val="0"/>
      </c:catAx>
      <c:valAx>
        <c:axId val="215387664"/>
        <c:scaling>
          <c:orientation val="minMax"/>
          <c:max val="4"/>
          <c:min val="0"/>
        </c:scaling>
        <c:delete val="0"/>
        <c:axPos val="l"/>
        <c:majorGridlines>
          <c:spPr>
            <a:ln w="9525" cap="flat" cmpd="sng" algn="ctr">
              <a:solidFill>
                <a:schemeClr val="tx1">
                  <a:lumMod val="50000"/>
                  <a:lumOff val="50000"/>
                </a:schemeClr>
              </a:solidFill>
              <a:miter lim="800000"/>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215388056"/>
        <c:crosses val="autoZero"/>
        <c:crossBetween val="between"/>
        <c:majorUnit val="1"/>
        <c:minorUnit val="1"/>
      </c:valAx>
      <c:spPr>
        <a:noFill/>
        <a:ln>
          <a:noFill/>
        </a:ln>
        <a:effectLst/>
      </c:spPr>
    </c:plotArea>
    <c:legend>
      <c:legendPos val="r"/>
      <c:layout>
        <c:manualLayout>
          <c:xMode val="edge"/>
          <c:yMode val="edge"/>
          <c:x val="0.85822037077583724"/>
          <c:y val="0.79085540166824864"/>
          <c:w val="0.13420796935087476"/>
          <c:h val="0.1998262007903015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a:gsLst>
        <a:gs pos="0">
          <a:schemeClr val="accent1">
            <a:lumMod val="0"/>
            <a:lumOff val="100000"/>
          </a:schemeClr>
        </a:gs>
        <a:gs pos="35000">
          <a:schemeClr val="accent1">
            <a:lumMod val="0"/>
            <a:lumOff val="100000"/>
          </a:schemeClr>
        </a:gs>
        <a:gs pos="100000">
          <a:schemeClr val="tx2">
            <a:lumMod val="60000"/>
            <a:lumOff val="40000"/>
          </a:schemeClr>
        </a:gs>
      </a:gsLst>
      <a:path path="circle">
        <a:fillToRect l="50000" t="-80000" r="50000" b="180000"/>
      </a:path>
    </a:gradFill>
    <a:ln w="19050"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0</xdr:row>
          <xdr:rowOff>304800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736600</xdr:colOff>
          <xdr:row>1</xdr:row>
          <xdr:rowOff>25400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345620</xdr:colOff>
      <xdr:row>2</xdr:row>
      <xdr:rowOff>473528</xdr:rowOff>
    </xdr:from>
    <xdr:to>
      <xdr:col>21</xdr:col>
      <xdr:colOff>340722</xdr:colOff>
      <xdr:row>40</xdr:row>
      <xdr:rowOff>160565</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482600</xdr:colOff>
          <xdr:row>0</xdr:row>
          <xdr:rowOff>304800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0.23719</cdr:x>
      <cdr:y>0.00428</cdr:y>
    </cdr:from>
    <cdr:to>
      <cdr:x>0.76924</cdr:x>
      <cdr:y>0.09427</cdr:y>
    </cdr:to>
    <cdr:sp macro="" textlink="">
      <cdr:nvSpPr>
        <cdr:cNvPr id="3" name="TextBox 2"/>
        <cdr:cNvSpPr txBox="1"/>
      </cdr:nvSpPr>
      <cdr:spPr>
        <a:xfrm xmlns:a="http://schemas.openxmlformats.org/drawingml/2006/main">
          <a:off x="3731080" y="34204"/>
          <a:ext cx="8369300" cy="719785"/>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marL="0" marR="0" lvl="0" indent="0" algn="ctr" defTabSz="914400" rtl="0" eaLnBrk="1" fontAlgn="auto" latinLnBrk="0" hangingPunct="1">
            <a:lnSpc>
              <a:spcPct val="100000"/>
            </a:lnSpc>
            <a:spcBef>
              <a:spcPts val="0"/>
            </a:spcBef>
            <a:spcAft>
              <a:spcPts val="0"/>
            </a:spcAft>
            <a:buClrTx/>
            <a:buSzTx/>
            <a:buFontTx/>
            <a:buNone/>
            <a:tabLst/>
            <a:defRPr/>
          </a:pPr>
          <a:r>
            <a:rPr lang="en-US" sz="4000" b="1" i="0" baseline="0">
              <a:effectLst/>
              <a:latin typeface="+mn-lt"/>
              <a:ea typeface="+mn-ea"/>
              <a:cs typeface="+mn-cs"/>
            </a:rPr>
            <a:t>Competence Development Trajectory</a:t>
          </a:r>
          <a:endParaRPr lang="en-GB" sz="4000">
            <a:effectLst/>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1</xdr:col>
      <xdr:colOff>226788</xdr:colOff>
      <xdr:row>2</xdr:row>
      <xdr:rowOff>404948</xdr:rowOff>
    </xdr:from>
    <xdr:to>
      <xdr:col>11</xdr:col>
      <xdr:colOff>205017</xdr:colOff>
      <xdr:row>39</xdr:row>
      <xdr:rowOff>152762</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457200</xdr:colOff>
      <xdr:row>2</xdr:row>
      <xdr:rowOff>370114</xdr:rowOff>
    </xdr:from>
    <xdr:to>
      <xdr:col>21</xdr:col>
      <xdr:colOff>435429</xdr:colOff>
      <xdr:row>39</xdr:row>
      <xdr:rowOff>117928</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304800</xdr:colOff>
          <xdr:row>0</xdr:row>
          <xdr:rowOff>304800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400-00000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6.xml><?xml version="1.0" encoding="utf-8"?>
<c:userShapes xmlns:c="http://schemas.openxmlformats.org/drawingml/2006/chart">
  <cdr:relSizeAnchor xmlns:cdr="http://schemas.openxmlformats.org/drawingml/2006/chartDrawing">
    <cdr:from>
      <cdr:x>0</cdr:x>
      <cdr:y>0</cdr:y>
    </cdr:from>
    <cdr:to>
      <cdr:x>0.73824</cdr:x>
      <cdr:y>0.0668</cdr:y>
    </cdr:to>
    <cdr:sp macro="" textlink="">
      <cdr:nvSpPr>
        <cdr:cNvPr id="2" name="TextBox 1"/>
        <cdr:cNvSpPr txBox="1"/>
      </cdr:nvSpPr>
      <cdr:spPr>
        <a:xfrm xmlns:a="http://schemas.openxmlformats.org/drawingml/2006/main">
          <a:off x="0" y="0"/>
          <a:ext cx="4764877" cy="45976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2000" b="1"/>
            <a:t>Individual Competence</a:t>
          </a:r>
          <a:r>
            <a:rPr lang="en-GB" sz="2000" b="1" baseline="0"/>
            <a:t> Spider Diagram</a:t>
          </a:r>
          <a:endParaRPr lang="en-GB" sz="2000" b="1"/>
        </a:p>
      </cdr:txBody>
    </cdr:sp>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0.635</cdr:x>
      <cdr:y>0.06684</cdr:y>
    </cdr:to>
    <cdr:sp macro="" textlink="">
      <cdr:nvSpPr>
        <cdr:cNvPr id="3" name="TextBox 1"/>
        <cdr:cNvSpPr txBox="1"/>
      </cdr:nvSpPr>
      <cdr:spPr>
        <a:xfrm xmlns:a="http://schemas.openxmlformats.org/drawingml/2006/main">
          <a:off x="0" y="0"/>
          <a:ext cx="4100162" cy="46006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2000" b="1"/>
            <a:t>Broad Competence</a:t>
          </a:r>
          <a:r>
            <a:rPr lang="en-GB" sz="2000" b="1" baseline="0"/>
            <a:t> Spider Diagram</a:t>
          </a:r>
          <a:endParaRPr lang="en-GB" sz="2000" b="1"/>
        </a:p>
      </cdr:txBody>
    </cdr:sp>
  </cdr:relSizeAnchor>
</c:userShapes>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762000</xdr:colOff>
          <xdr:row>0</xdr:row>
          <xdr:rowOff>304800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500-00000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600-000005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38100</xdr:colOff>
          <xdr:row>9</xdr:row>
          <xdr:rowOff>63500</xdr:rowOff>
        </xdr:from>
        <xdr:to>
          <xdr:col>17</xdr:col>
          <xdr:colOff>457200</xdr:colOff>
          <xdr:row>9</xdr:row>
          <xdr:rowOff>1574800</xdr:rowOff>
        </xdr:to>
        <xdr:sp macro="" textlink="">
          <xdr:nvSpPr>
            <xdr:cNvPr id="5126" name="Object 6" hidden="1">
              <a:extLst>
                <a:ext uri="{63B3BB69-23CF-44E3-9099-C40C66FF867C}">
                  <a14:compatExt spid="_x0000_s5126"/>
                </a:ext>
                <a:ext uri="{FF2B5EF4-FFF2-40B4-BE49-F238E27FC236}">
                  <a16:creationId xmlns:a16="http://schemas.microsoft.com/office/drawing/2014/main" id="{00000000-0008-0000-0600-00000614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50800</xdr:colOff>
          <xdr:row>9</xdr:row>
          <xdr:rowOff>1676400</xdr:rowOff>
        </xdr:from>
        <xdr:to>
          <xdr:col>17</xdr:col>
          <xdr:colOff>469900</xdr:colOff>
          <xdr:row>10</xdr:row>
          <xdr:rowOff>2120900</xdr:rowOff>
        </xdr:to>
        <xdr:sp macro="" textlink="">
          <xdr:nvSpPr>
            <xdr:cNvPr id="5128" name="Object 8" hidden="1">
              <a:extLst>
                <a:ext uri="{63B3BB69-23CF-44E3-9099-C40C66FF867C}">
                  <a14:compatExt spid="_x0000_s5128"/>
                </a:ext>
                <a:ext uri="{FF2B5EF4-FFF2-40B4-BE49-F238E27FC236}">
                  <a16:creationId xmlns:a16="http://schemas.microsoft.com/office/drawing/2014/main" id="{00000000-0008-0000-0600-00000814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7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8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9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B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D00-000001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E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F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1000-000001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11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12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1300-000001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4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500-00000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6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17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1800-000001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900-000001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1A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B00-000001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1C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1D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image" Target="../media/image2.emf"/><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4.xml"/><Relationship Id="rId1" Type="http://schemas.openxmlformats.org/officeDocument/2006/relationships/printerSettings" Target="../printerSettings/printerSettings12.bin"/><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5.xml"/><Relationship Id="rId1" Type="http://schemas.openxmlformats.org/officeDocument/2006/relationships/printerSettings" Target="../printerSettings/printerSettings13.bin"/><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6.xml"/><Relationship Id="rId1" Type="http://schemas.openxmlformats.org/officeDocument/2006/relationships/printerSettings" Target="../printerSettings/printerSettings14.bin"/><Relationship Id="rId4" Type="http://schemas.openxmlformats.org/officeDocument/2006/relationships/ctrlProp" Target="../ctrlProps/ctrlProp1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7.xml"/><Relationship Id="rId1" Type="http://schemas.openxmlformats.org/officeDocument/2006/relationships/printerSettings" Target="../printerSettings/printerSettings15.bin"/><Relationship Id="rId4" Type="http://schemas.openxmlformats.org/officeDocument/2006/relationships/ctrlProp" Target="../ctrlProps/ctrlProp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1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9.xml"/><Relationship Id="rId1" Type="http://schemas.openxmlformats.org/officeDocument/2006/relationships/printerSettings" Target="../printerSettings/printerSettings17.bin"/><Relationship Id="rId4" Type="http://schemas.openxmlformats.org/officeDocument/2006/relationships/ctrlProp" Target="../ctrlProps/ctrlProp1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0.xml"/><Relationship Id="rId1" Type="http://schemas.openxmlformats.org/officeDocument/2006/relationships/printerSettings" Target="../printerSettings/printerSettings18.bin"/><Relationship Id="rId4" Type="http://schemas.openxmlformats.org/officeDocument/2006/relationships/ctrlProp" Target="../ctrlProps/ctrlProp17.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1.xml"/><Relationship Id="rId1" Type="http://schemas.openxmlformats.org/officeDocument/2006/relationships/printerSettings" Target="../printerSettings/printerSettings19.bin"/><Relationship Id="rId4" Type="http://schemas.openxmlformats.org/officeDocument/2006/relationships/ctrlProp" Target="../ctrlProps/ctrlProp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2.xml"/><Relationship Id="rId1" Type="http://schemas.openxmlformats.org/officeDocument/2006/relationships/printerSettings" Target="../printerSettings/printerSettings20.bin"/><Relationship Id="rId4" Type="http://schemas.openxmlformats.org/officeDocument/2006/relationships/ctrlProp" Target="../ctrlProps/ctrlProp1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3.xml"/><Relationship Id="rId1" Type="http://schemas.openxmlformats.org/officeDocument/2006/relationships/printerSettings" Target="../printerSettings/printerSettings21.bin"/><Relationship Id="rId4" Type="http://schemas.openxmlformats.org/officeDocument/2006/relationships/ctrlProp" Target="../ctrlProps/ctrlProp20.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4.xml"/><Relationship Id="rId1" Type="http://schemas.openxmlformats.org/officeDocument/2006/relationships/printerSettings" Target="../printerSettings/printerSettings22.bin"/><Relationship Id="rId4" Type="http://schemas.openxmlformats.org/officeDocument/2006/relationships/ctrlProp" Target="../ctrlProps/ctrlProp2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5.xml"/><Relationship Id="rId1" Type="http://schemas.openxmlformats.org/officeDocument/2006/relationships/printerSettings" Target="../printerSettings/printerSettings23.bin"/><Relationship Id="rId4" Type="http://schemas.openxmlformats.org/officeDocument/2006/relationships/ctrlProp" Target="../ctrlProps/ctrlProp22.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6.xml"/><Relationship Id="rId1" Type="http://schemas.openxmlformats.org/officeDocument/2006/relationships/printerSettings" Target="../printerSettings/printerSettings24.bin"/><Relationship Id="rId4" Type="http://schemas.openxmlformats.org/officeDocument/2006/relationships/ctrlProp" Target="../ctrlProps/ctrlProp2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7.xml"/><Relationship Id="rId1" Type="http://schemas.openxmlformats.org/officeDocument/2006/relationships/printerSettings" Target="../printerSettings/printerSettings25.bin"/><Relationship Id="rId4" Type="http://schemas.openxmlformats.org/officeDocument/2006/relationships/ctrlProp" Target="../ctrlProps/ctrlProp24.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8.xml"/><Relationship Id="rId1" Type="http://schemas.openxmlformats.org/officeDocument/2006/relationships/printerSettings" Target="../printerSettings/printerSettings26.bin"/><Relationship Id="rId4" Type="http://schemas.openxmlformats.org/officeDocument/2006/relationships/ctrlProp" Target="../ctrlProps/ctrlProp25.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9.xml"/><Relationship Id="rId1" Type="http://schemas.openxmlformats.org/officeDocument/2006/relationships/printerSettings" Target="../printerSettings/printerSettings27.bin"/><Relationship Id="rId4" Type="http://schemas.openxmlformats.org/officeDocument/2006/relationships/ctrlProp" Target="../ctrlProps/ctrlProp2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0.xml"/><Relationship Id="rId1" Type="http://schemas.openxmlformats.org/officeDocument/2006/relationships/printerSettings" Target="../printerSettings/printerSettings28.bin"/><Relationship Id="rId4" Type="http://schemas.openxmlformats.org/officeDocument/2006/relationships/ctrlProp" Target="../ctrlProps/ctrlProp2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1.xml"/><Relationship Id="rId1" Type="http://schemas.openxmlformats.org/officeDocument/2006/relationships/printerSettings" Target="../printerSettings/printerSettings29.bin"/><Relationship Id="rId4" Type="http://schemas.openxmlformats.org/officeDocument/2006/relationships/ctrlProp" Target="../ctrlProps/ctrlProp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2.xml"/><Relationship Id="rId1" Type="http://schemas.openxmlformats.org/officeDocument/2006/relationships/printerSettings" Target="../printerSettings/printerSettings30.bin"/><Relationship Id="rId4" Type="http://schemas.openxmlformats.org/officeDocument/2006/relationships/ctrlProp" Target="../ctrlProps/ctrlProp29.xml"/></Relationships>
</file>

<file path=xl/worksheets/_rels/sheet31.xml.rels><?xml version="1.0" encoding="UTF-8" standalone="yes"?>
<Relationships xmlns="http://schemas.openxmlformats.org/package/2006/relationships"><Relationship Id="rId13" Type="http://schemas.openxmlformats.org/officeDocument/2006/relationships/hyperlink" Target="http://www.theiet.org/" TargetMode="External"/><Relationship Id="rId18" Type="http://schemas.openxmlformats.org/officeDocument/2006/relationships/hyperlink" Target="http://www.theilp.org.uk/" TargetMode="External"/><Relationship Id="rId26" Type="http://schemas.openxmlformats.org/officeDocument/2006/relationships/hyperlink" Target="http://www.ipem.ac.uk/" TargetMode="External"/><Relationship Id="rId3" Type="http://schemas.openxmlformats.org/officeDocument/2006/relationships/hyperlink" Target="http://www.cibse.org/" TargetMode="External"/><Relationship Id="rId21" Type="http://schemas.openxmlformats.org/officeDocument/2006/relationships/hyperlink" Target="http://www.instmc.org/" TargetMode="External"/><Relationship Id="rId34" Type="http://schemas.openxmlformats.org/officeDocument/2006/relationships/hyperlink" Target="http://www.soe.org.uk/" TargetMode="External"/><Relationship Id="rId7" Type="http://schemas.openxmlformats.org/officeDocument/2006/relationships/hyperlink" Target="https://www.energyinst.org/home" TargetMode="External"/><Relationship Id="rId12" Type="http://schemas.openxmlformats.org/officeDocument/2006/relationships/hyperlink" Target="http://www.ied.org.uk/" TargetMode="External"/><Relationship Id="rId17" Type="http://schemas.openxmlformats.org/officeDocument/2006/relationships/hyperlink" Target="http://www.iheem.org.uk/" TargetMode="External"/><Relationship Id="rId25" Type="http://schemas.openxmlformats.org/officeDocument/2006/relationships/hyperlink" Target="http://www.iop.org/" TargetMode="External"/><Relationship Id="rId33" Type="http://schemas.openxmlformats.org/officeDocument/2006/relationships/hyperlink" Target="http://www.environmental.org.uk/" TargetMode="External"/><Relationship Id="rId2" Type="http://schemas.openxmlformats.org/officeDocument/2006/relationships/hyperlink" Target="http://www.bindt.org/" TargetMode="External"/><Relationship Id="rId16" Type="http://schemas.openxmlformats.org/officeDocument/2006/relationships/hyperlink" Target="http://www.theihe.org/" TargetMode="External"/><Relationship Id="rId20" Type="http://schemas.openxmlformats.org/officeDocument/2006/relationships/hyperlink" Target="http://www.imeche.org/" TargetMode="External"/><Relationship Id="rId29" Type="http://schemas.openxmlformats.org/officeDocument/2006/relationships/hyperlink" Target="http://www.instituteofwater.org.uk/" TargetMode="External"/><Relationship Id="rId1" Type="http://schemas.openxmlformats.org/officeDocument/2006/relationships/hyperlink" Target="http://www.bcs.org/" TargetMode="External"/><Relationship Id="rId6" Type="http://schemas.openxmlformats.org/officeDocument/2006/relationships/hyperlink" Target="http://www.ciwem.org/" TargetMode="External"/><Relationship Id="rId11" Type="http://schemas.openxmlformats.org/officeDocument/2006/relationships/hyperlink" Target="http://www.icme.org.uk/" TargetMode="External"/><Relationship Id="rId24" Type="http://schemas.openxmlformats.org/officeDocument/2006/relationships/hyperlink" Target="http://www.iom3.org/" TargetMode="External"/><Relationship Id="rId32" Type="http://schemas.openxmlformats.org/officeDocument/2006/relationships/hyperlink" Target="http://www.rina.org.uk/" TargetMode="External"/><Relationship Id="rId5" Type="http://schemas.openxmlformats.org/officeDocument/2006/relationships/hyperlink" Target="http://www.ciphe.org.uk/" TargetMode="External"/><Relationship Id="rId15" Type="http://schemas.openxmlformats.org/officeDocument/2006/relationships/hyperlink" Target="http://www.igem.org.uk/" TargetMode="External"/><Relationship Id="rId23" Type="http://schemas.openxmlformats.org/officeDocument/2006/relationships/hyperlink" Target="http://www.ioa.org.uk/" TargetMode="External"/><Relationship Id="rId28" Type="http://schemas.openxmlformats.org/officeDocument/2006/relationships/hyperlink" Target="http://www.istructe.org/" TargetMode="External"/><Relationship Id="rId36" Type="http://schemas.openxmlformats.org/officeDocument/2006/relationships/printerSettings" Target="../printerSettings/printerSettings31.bin"/><Relationship Id="rId10" Type="http://schemas.openxmlformats.org/officeDocument/2006/relationships/hyperlink" Target="http://www.icheme.org/" TargetMode="External"/><Relationship Id="rId19" Type="http://schemas.openxmlformats.org/officeDocument/2006/relationships/hyperlink" Target="http://www.imarest.org/" TargetMode="External"/><Relationship Id="rId31" Type="http://schemas.openxmlformats.org/officeDocument/2006/relationships/hyperlink" Target="http://www.aerosociety.com/" TargetMode="External"/><Relationship Id="rId4" Type="http://schemas.openxmlformats.org/officeDocument/2006/relationships/hyperlink" Target="http://www.ciht.org.uk/" TargetMode="External"/><Relationship Id="rId9" Type="http://schemas.openxmlformats.org/officeDocument/2006/relationships/hyperlink" Target="https://www.ice.org.uk/" TargetMode="External"/><Relationship Id="rId14" Type="http://schemas.openxmlformats.org/officeDocument/2006/relationships/hyperlink" Target="http://www.ife.org.uk/" TargetMode="External"/><Relationship Id="rId22" Type="http://schemas.openxmlformats.org/officeDocument/2006/relationships/hyperlink" Target="http://www.instre.org/" TargetMode="External"/><Relationship Id="rId27" Type="http://schemas.openxmlformats.org/officeDocument/2006/relationships/hyperlink" Target="http://www.irse.org/" TargetMode="External"/><Relationship Id="rId30" Type="http://schemas.openxmlformats.org/officeDocument/2006/relationships/hyperlink" Target="http://www.nuclearinst.com/" TargetMode="External"/><Relationship Id="rId35" Type="http://schemas.openxmlformats.org/officeDocument/2006/relationships/hyperlink" Target="http://www.theweldinginstitute.com/" TargetMode="External"/><Relationship Id="rId8" Type="http://schemas.openxmlformats.org/officeDocument/2006/relationships/hyperlink" Target="http://www.iagre.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dimension ref="A1:G39"/>
  <sheetViews>
    <sheetView zoomScale="85" zoomScaleNormal="85" workbookViewId="0">
      <selection activeCell="B4" sqref="B4:F4"/>
    </sheetView>
  </sheetViews>
  <sheetFormatPr baseColWidth="10" defaultColWidth="10.6640625" defaultRowHeight="19" x14ac:dyDescent="0.25"/>
  <cols>
    <col min="1" max="1" width="5" style="1" customWidth="1"/>
    <col min="2" max="2" width="23.5" style="1" customWidth="1"/>
    <col min="3" max="6" width="35.6640625" style="1" customWidth="1"/>
    <col min="7" max="7" width="5.6640625" style="1" customWidth="1"/>
    <col min="8" max="16384" width="10.6640625" style="1"/>
  </cols>
  <sheetData>
    <row r="1" spans="1:7" x14ac:dyDescent="0.25">
      <c r="A1" s="231"/>
      <c r="B1" s="232"/>
      <c r="C1" s="232"/>
      <c r="D1" s="232"/>
      <c r="E1" s="232"/>
      <c r="F1" s="232"/>
      <c r="G1" s="233"/>
    </row>
    <row r="2" spans="1:7" ht="21" x14ac:dyDescent="0.25">
      <c r="A2" s="234"/>
      <c r="B2" s="349" t="s">
        <v>217</v>
      </c>
      <c r="C2" s="349"/>
      <c r="D2" s="349"/>
      <c r="E2" s="349"/>
      <c r="F2" s="349"/>
      <c r="G2" s="235"/>
    </row>
    <row r="3" spans="1:7" ht="33" customHeight="1" x14ac:dyDescent="0.25">
      <c r="A3" s="234"/>
      <c r="B3" s="350" t="s">
        <v>296</v>
      </c>
      <c r="C3" s="351"/>
      <c r="D3" s="351"/>
      <c r="E3" s="351"/>
      <c r="F3" s="351"/>
      <c r="G3" s="235"/>
    </row>
    <row r="4" spans="1:7" ht="77" customHeight="1" x14ac:dyDescent="0.25">
      <c r="A4" s="234"/>
      <c r="B4" s="352" t="s">
        <v>306</v>
      </c>
      <c r="C4" s="352"/>
      <c r="D4" s="352"/>
      <c r="E4" s="352"/>
      <c r="F4" s="352"/>
      <c r="G4" s="235"/>
    </row>
    <row r="5" spans="1:7" s="48" customFormat="1" ht="60" customHeight="1" x14ac:dyDescent="0.25">
      <c r="A5" s="236"/>
      <c r="B5" s="352" t="s">
        <v>297</v>
      </c>
      <c r="C5" s="352"/>
      <c r="D5" s="352"/>
      <c r="E5" s="352"/>
      <c r="F5" s="352"/>
      <c r="G5" s="237"/>
    </row>
    <row r="6" spans="1:7" s="48" customFormat="1" ht="62" customHeight="1" x14ac:dyDescent="0.25">
      <c r="A6" s="236"/>
      <c r="B6" s="352" t="s">
        <v>300</v>
      </c>
      <c r="C6" s="352"/>
      <c r="D6" s="352"/>
      <c r="E6" s="352"/>
      <c r="F6" s="352"/>
      <c r="G6" s="237"/>
    </row>
    <row r="7" spans="1:7" s="48" customFormat="1" ht="60" customHeight="1" x14ac:dyDescent="0.25">
      <c r="A7" s="236"/>
      <c r="B7" s="348" t="s">
        <v>298</v>
      </c>
      <c r="C7" s="348"/>
      <c r="D7" s="348"/>
      <c r="E7" s="348"/>
      <c r="F7" s="348"/>
      <c r="G7" s="237"/>
    </row>
    <row r="8" spans="1:7" s="48" customFormat="1" ht="77" customHeight="1" x14ac:dyDescent="0.25">
      <c r="A8" s="236"/>
      <c r="B8" s="352" t="s">
        <v>299</v>
      </c>
      <c r="C8" s="352"/>
      <c r="D8" s="352"/>
      <c r="E8" s="352"/>
      <c r="F8" s="352"/>
      <c r="G8" s="237"/>
    </row>
    <row r="9" spans="1:7" s="48" customFormat="1" ht="78" customHeight="1" x14ac:dyDescent="0.25">
      <c r="A9" s="236"/>
      <c r="B9" s="352" t="s">
        <v>301</v>
      </c>
      <c r="C9" s="352"/>
      <c r="D9" s="352"/>
      <c r="E9" s="352"/>
      <c r="F9" s="352"/>
      <c r="G9" s="237"/>
    </row>
    <row r="10" spans="1:7" s="48" customFormat="1" ht="20" x14ac:dyDescent="0.25">
      <c r="A10" s="236"/>
      <c r="B10" s="312" t="s">
        <v>287</v>
      </c>
      <c r="C10" s="371"/>
      <c r="D10" s="372"/>
      <c r="E10" s="372"/>
      <c r="F10" s="373"/>
      <c r="G10" s="237"/>
    </row>
    <row r="11" spans="1:7" s="48" customFormat="1" ht="38.5" customHeight="1" x14ac:dyDescent="0.25">
      <c r="A11" s="236"/>
      <c r="B11" s="313" t="s">
        <v>288</v>
      </c>
      <c r="C11" s="345" t="s">
        <v>295</v>
      </c>
      <c r="D11" s="346"/>
      <c r="E11" s="346"/>
      <c r="F11" s="347"/>
      <c r="G11" s="237"/>
    </row>
    <row r="12" spans="1:7" s="48" customFormat="1" ht="57.5" customHeight="1" x14ac:dyDescent="0.25">
      <c r="A12" s="236"/>
      <c r="B12" s="313" t="s">
        <v>289</v>
      </c>
      <c r="C12" s="345" t="s">
        <v>293</v>
      </c>
      <c r="D12" s="346"/>
      <c r="E12" s="346"/>
      <c r="F12" s="347"/>
      <c r="G12" s="237"/>
    </row>
    <row r="13" spans="1:7" s="48" customFormat="1" ht="40.25" customHeight="1" x14ac:dyDescent="0.25">
      <c r="A13" s="236"/>
      <c r="B13" s="313" t="s">
        <v>290</v>
      </c>
      <c r="C13" s="345" t="s">
        <v>292</v>
      </c>
      <c r="D13" s="346"/>
      <c r="E13" s="346"/>
      <c r="F13" s="347"/>
      <c r="G13" s="237"/>
    </row>
    <row r="14" spans="1:7" s="48" customFormat="1" ht="42" customHeight="1" x14ac:dyDescent="0.25">
      <c r="A14" s="236"/>
      <c r="B14" s="313" t="s">
        <v>291</v>
      </c>
      <c r="C14" s="345" t="s">
        <v>294</v>
      </c>
      <c r="D14" s="346"/>
      <c r="E14" s="346"/>
      <c r="F14" s="347"/>
      <c r="G14" s="237"/>
    </row>
    <row r="15" spans="1:7" s="48" customFormat="1" ht="60.5" customHeight="1" x14ac:dyDescent="0.25">
      <c r="A15" s="236"/>
      <c r="B15" s="345" t="s">
        <v>286</v>
      </c>
      <c r="C15" s="346"/>
      <c r="D15" s="346"/>
      <c r="E15" s="346"/>
      <c r="F15" s="347"/>
      <c r="G15" s="237"/>
    </row>
    <row r="16" spans="1:7" s="48" customFormat="1" ht="199.25" customHeight="1" x14ac:dyDescent="0.25">
      <c r="A16" s="236"/>
      <c r="B16" s="345" t="s">
        <v>302</v>
      </c>
      <c r="C16" s="346"/>
      <c r="D16" s="346"/>
      <c r="E16" s="346"/>
      <c r="F16" s="347"/>
      <c r="G16" s="237"/>
    </row>
    <row r="17" spans="1:7" s="48" customFormat="1" ht="221.5" customHeight="1" x14ac:dyDescent="0.25">
      <c r="A17" s="236"/>
      <c r="B17" s="368" t="s">
        <v>307</v>
      </c>
      <c r="C17" s="369"/>
      <c r="D17" s="369"/>
      <c r="E17" s="369"/>
      <c r="F17" s="370"/>
      <c r="G17" s="237"/>
    </row>
    <row r="18" spans="1:7" s="48" customFormat="1" ht="78.5" customHeight="1" x14ac:dyDescent="0.25">
      <c r="A18" s="236"/>
      <c r="B18" s="345" t="s">
        <v>303</v>
      </c>
      <c r="C18" s="346"/>
      <c r="D18" s="346"/>
      <c r="E18" s="346"/>
      <c r="F18" s="347"/>
      <c r="G18" s="237"/>
    </row>
    <row r="19" spans="1:7" s="48" customFormat="1" ht="152" customHeight="1" x14ac:dyDescent="0.25">
      <c r="A19" s="236"/>
      <c r="B19" s="345" t="s">
        <v>308</v>
      </c>
      <c r="C19" s="346"/>
      <c r="D19" s="346"/>
      <c r="E19" s="346"/>
      <c r="F19" s="347"/>
      <c r="G19" s="237"/>
    </row>
    <row r="20" spans="1:7" s="48" customFormat="1" ht="17.5" customHeight="1" x14ac:dyDescent="0.25">
      <c r="A20" s="236"/>
      <c r="B20" s="311"/>
      <c r="C20" s="311"/>
      <c r="D20" s="311"/>
      <c r="E20" s="311"/>
      <c r="F20" s="311"/>
      <c r="G20" s="237"/>
    </row>
    <row r="21" spans="1:7" s="48" customFormat="1" ht="18" customHeight="1" thickBot="1" x14ac:dyDescent="0.3">
      <c r="A21" s="236"/>
      <c r="B21" s="367" t="s">
        <v>309</v>
      </c>
      <c r="C21" s="367"/>
      <c r="D21" s="367"/>
      <c r="E21" s="367"/>
      <c r="F21" s="367"/>
      <c r="G21" s="237"/>
    </row>
    <row r="22" spans="1:7" x14ac:dyDescent="0.25">
      <c r="A22" s="234"/>
      <c r="B22" s="50" t="s">
        <v>0</v>
      </c>
      <c r="C22" s="356" t="s">
        <v>272</v>
      </c>
      <c r="D22" s="357"/>
      <c r="E22" s="356" t="s">
        <v>279</v>
      </c>
      <c r="F22" s="357"/>
      <c r="G22" s="235"/>
    </row>
    <row r="23" spans="1:7" x14ac:dyDescent="0.25">
      <c r="A23" s="234"/>
      <c r="B23" s="49" t="s">
        <v>304</v>
      </c>
      <c r="C23" s="216" t="s">
        <v>169</v>
      </c>
      <c r="D23" s="217" t="s">
        <v>175</v>
      </c>
      <c r="E23" s="217" t="s">
        <v>181</v>
      </c>
      <c r="F23" s="218" t="s">
        <v>187</v>
      </c>
      <c r="G23" s="235"/>
    </row>
    <row r="24" spans="1:7" x14ac:dyDescent="0.25">
      <c r="A24" s="234"/>
      <c r="B24" s="51" t="s">
        <v>8</v>
      </c>
      <c r="C24" s="216" t="s">
        <v>170</v>
      </c>
      <c r="D24" s="217" t="s">
        <v>176</v>
      </c>
      <c r="E24" s="217" t="s">
        <v>182</v>
      </c>
      <c r="F24" s="218" t="s">
        <v>188</v>
      </c>
      <c r="G24" s="235"/>
    </row>
    <row r="25" spans="1:7" x14ac:dyDescent="0.25">
      <c r="A25" s="234"/>
      <c r="B25" s="52" t="s">
        <v>271</v>
      </c>
      <c r="C25" s="216" t="s">
        <v>171</v>
      </c>
      <c r="D25" s="217" t="s">
        <v>177</v>
      </c>
      <c r="E25" s="217" t="s">
        <v>183</v>
      </c>
      <c r="F25" s="218" t="s">
        <v>189</v>
      </c>
      <c r="G25" s="235"/>
    </row>
    <row r="26" spans="1:7" x14ac:dyDescent="0.25">
      <c r="A26" s="234"/>
      <c r="B26" s="53" t="s">
        <v>9</v>
      </c>
      <c r="C26" s="216" t="s">
        <v>172</v>
      </c>
      <c r="D26" s="217" t="s">
        <v>178</v>
      </c>
      <c r="E26" s="217" t="s">
        <v>185</v>
      </c>
      <c r="F26" s="218" t="s">
        <v>190</v>
      </c>
      <c r="G26" s="235"/>
    </row>
    <row r="27" spans="1:7" x14ac:dyDescent="0.25">
      <c r="A27" s="234"/>
      <c r="B27" s="54" t="s">
        <v>194</v>
      </c>
      <c r="C27" s="216" t="s">
        <v>173</v>
      </c>
      <c r="D27" s="217" t="s">
        <v>179</v>
      </c>
      <c r="E27" s="217" t="s">
        <v>184</v>
      </c>
      <c r="F27" s="218" t="s">
        <v>191</v>
      </c>
      <c r="G27" s="235"/>
    </row>
    <row r="28" spans="1:7" ht="20" thickBot="1" x14ac:dyDescent="0.3">
      <c r="A28" s="234"/>
      <c r="B28" s="162" t="s">
        <v>212</v>
      </c>
      <c r="C28" s="219" t="s">
        <v>174</v>
      </c>
      <c r="D28" s="220" t="s">
        <v>180</v>
      </c>
      <c r="E28" s="220" t="s">
        <v>186</v>
      </c>
      <c r="F28" s="221" t="s">
        <v>192</v>
      </c>
      <c r="G28" s="235"/>
    </row>
    <row r="29" spans="1:7" x14ac:dyDescent="0.25">
      <c r="A29" s="234"/>
      <c r="B29" s="209" t="s">
        <v>273</v>
      </c>
      <c r="C29" s="210" t="s">
        <v>274</v>
      </c>
      <c r="D29" s="358" t="s">
        <v>276</v>
      </c>
      <c r="E29" s="359"/>
      <c r="F29" s="360"/>
      <c r="G29" s="235"/>
    </row>
    <row r="30" spans="1:7" x14ac:dyDescent="0.25">
      <c r="A30" s="234"/>
      <c r="B30" s="211"/>
      <c r="C30" s="212" t="s">
        <v>275</v>
      </c>
      <c r="D30" s="361" t="s">
        <v>277</v>
      </c>
      <c r="E30" s="362"/>
      <c r="F30" s="363"/>
      <c r="G30" s="235"/>
    </row>
    <row r="31" spans="1:7" ht="20" thickBot="1" x14ac:dyDescent="0.3">
      <c r="A31" s="234"/>
      <c r="B31" s="213"/>
      <c r="C31" s="214" t="s">
        <v>193</v>
      </c>
      <c r="D31" s="364" t="s">
        <v>278</v>
      </c>
      <c r="E31" s="365"/>
      <c r="F31" s="366"/>
      <c r="G31" s="235"/>
    </row>
    <row r="32" spans="1:7" ht="18" customHeight="1" thickBot="1" x14ac:dyDescent="0.3">
      <c r="A32" s="234"/>
      <c r="B32" s="215" t="s">
        <v>1</v>
      </c>
      <c r="C32" s="353" t="s">
        <v>305</v>
      </c>
      <c r="D32" s="354"/>
      <c r="E32" s="354"/>
      <c r="F32" s="355"/>
      <c r="G32" s="235"/>
    </row>
    <row r="33" spans="1:7" ht="20" thickBot="1" x14ac:dyDescent="0.3">
      <c r="A33" s="238"/>
      <c r="B33" s="239"/>
      <c r="C33" s="239"/>
      <c r="D33" s="239"/>
      <c r="E33" s="239"/>
      <c r="F33" s="239"/>
      <c r="G33" s="240"/>
    </row>
    <row r="35" spans="1:7" x14ac:dyDescent="0.25">
      <c r="D35" s="47"/>
    </row>
    <row r="36" spans="1:7" x14ac:dyDescent="0.25">
      <c r="D36" s="47"/>
    </row>
    <row r="37" spans="1:7" x14ac:dyDescent="0.25">
      <c r="D37" s="47"/>
    </row>
    <row r="38" spans="1:7" x14ac:dyDescent="0.25">
      <c r="D38" s="47"/>
    </row>
    <row r="39" spans="1:7" x14ac:dyDescent="0.25">
      <c r="D39" s="47"/>
    </row>
  </sheetData>
  <mergeCells count="25">
    <mergeCell ref="C32:F32"/>
    <mergeCell ref="B8:F8"/>
    <mergeCell ref="B9:F9"/>
    <mergeCell ref="B16:F16"/>
    <mergeCell ref="B19:F19"/>
    <mergeCell ref="B15:F15"/>
    <mergeCell ref="C22:D22"/>
    <mergeCell ref="E22:F22"/>
    <mergeCell ref="D29:F29"/>
    <mergeCell ref="D30:F30"/>
    <mergeCell ref="D31:F31"/>
    <mergeCell ref="B21:F21"/>
    <mergeCell ref="B17:F17"/>
    <mergeCell ref="B18:F18"/>
    <mergeCell ref="C14:F14"/>
    <mergeCell ref="C10:F10"/>
    <mergeCell ref="C11:F11"/>
    <mergeCell ref="C12:F12"/>
    <mergeCell ref="C13:F13"/>
    <mergeCell ref="B7:F7"/>
    <mergeCell ref="B2:F2"/>
    <mergeCell ref="B3:F3"/>
    <mergeCell ref="B4:F4"/>
    <mergeCell ref="B5:F5"/>
    <mergeCell ref="B6:F6"/>
  </mergeCells>
  <pageMargins left="0.25" right="0.25"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8"/>
  <sheetViews>
    <sheetView topLeftCell="A14" zoomScale="70" zoomScaleNormal="70" workbookViewId="0">
      <selection activeCell="I60" sqref="I60"/>
    </sheetView>
  </sheetViews>
  <sheetFormatPr baseColWidth="10" defaultColWidth="11.1640625" defaultRowHeight="16" x14ac:dyDescent="0.2"/>
  <cols>
    <col min="1" max="1" width="3.6640625" style="46" customWidth="1"/>
    <col min="2" max="2" width="36.6640625" style="46" customWidth="1"/>
    <col min="3" max="7" width="21" style="46" customWidth="1"/>
    <col min="8" max="8" width="21" style="304" customWidth="1"/>
    <col min="9" max="9" width="30" style="46" bestFit="1" customWidth="1"/>
    <col min="10" max="10" width="21" style="46" customWidth="1"/>
    <col min="11" max="11" width="4.1640625" style="46" customWidth="1"/>
    <col min="12" max="16384" width="11.1640625" style="46"/>
  </cols>
  <sheetData>
    <row r="1" spans="1:29" ht="25.25" customHeight="1" thickBot="1" x14ac:dyDescent="0.25">
      <c r="A1" s="265" t="str">
        <f ca="1">RIGHT(CELL("filename",ZZ1000),LEN(CELL("filename",ZZ1000))-FIND("]",CELL("filename",ZZ1000)))</f>
        <v>Front Sheet</v>
      </c>
      <c r="B1" s="40"/>
      <c r="C1" s="40"/>
      <c r="D1" s="40"/>
      <c r="E1" s="40"/>
      <c r="F1" s="40"/>
      <c r="G1" s="40"/>
      <c r="H1" s="297"/>
      <c r="I1" s="266" t="s">
        <v>256</v>
      </c>
      <c r="J1" s="263">
        <f ca="1">TODAY()</f>
        <v>43969</v>
      </c>
      <c r="K1" s="264"/>
      <c r="L1" s="164"/>
      <c r="M1" s="164"/>
      <c r="N1" s="164"/>
      <c r="O1" s="164"/>
      <c r="P1" s="164"/>
      <c r="Q1" s="164"/>
      <c r="R1" s="164"/>
      <c r="S1" s="164"/>
      <c r="T1" s="164"/>
      <c r="U1" s="164"/>
      <c r="V1" s="164"/>
      <c r="W1" s="164"/>
      <c r="X1" s="164"/>
      <c r="Y1" s="164"/>
      <c r="Z1" s="164"/>
      <c r="AA1" s="164"/>
      <c r="AB1" s="164"/>
      <c r="AC1" s="164"/>
    </row>
    <row r="2" spans="1:29" ht="30" customHeight="1" thickBot="1" x14ac:dyDescent="0.25">
      <c r="A2" s="267"/>
      <c r="B2" s="389" t="s">
        <v>213</v>
      </c>
      <c r="C2" s="389"/>
      <c r="D2" s="389"/>
      <c r="E2" s="389"/>
      <c r="F2" s="268" t="s">
        <v>216</v>
      </c>
      <c r="G2" s="308" t="s">
        <v>336</v>
      </c>
      <c r="H2" s="298"/>
      <c r="I2" s="269" t="s">
        <v>224</v>
      </c>
      <c r="J2" s="270" t="s">
        <v>14</v>
      </c>
      <c r="K2" s="271"/>
      <c r="L2" s="164"/>
      <c r="M2" s="164"/>
      <c r="N2" s="164"/>
      <c r="O2" s="164"/>
      <c r="P2" s="164"/>
      <c r="Q2" s="164"/>
      <c r="R2" s="164"/>
      <c r="S2" s="164"/>
      <c r="T2" s="164"/>
      <c r="U2" s="164"/>
      <c r="V2" s="164"/>
      <c r="W2" s="164"/>
      <c r="X2" s="164"/>
      <c r="Y2" s="164"/>
      <c r="Z2" s="164"/>
      <c r="AA2" s="164"/>
      <c r="AB2" s="164"/>
      <c r="AC2" s="164"/>
    </row>
    <row r="3" spans="1:29" ht="8" customHeight="1" thickBot="1" x14ac:dyDescent="0.25">
      <c r="A3" s="267"/>
      <c r="B3" s="41"/>
      <c r="C3" s="44"/>
      <c r="D3" s="44"/>
      <c r="E3" s="44"/>
      <c r="F3" s="44"/>
      <c r="G3" s="44"/>
      <c r="H3" s="42"/>
      <c r="I3" s="44"/>
      <c r="J3" s="44"/>
      <c r="K3" s="271"/>
      <c r="L3" s="164"/>
      <c r="M3" s="164"/>
      <c r="N3" s="164"/>
      <c r="O3" s="164"/>
      <c r="P3" s="164"/>
      <c r="Q3" s="164"/>
      <c r="R3" s="164"/>
      <c r="S3" s="164"/>
      <c r="T3" s="164"/>
      <c r="U3" s="164"/>
      <c r="V3" s="164"/>
      <c r="W3" s="164"/>
      <c r="X3" s="164"/>
      <c r="Y3" s="164"/>
      <c r="Z3" s="164"/>
      <c r="AA3" s="164"/>
      <c r="AB3" s="164"/>
      <c r="AC3" s="164"/>
    </row>
    <row r="4" spans="1:29" s="278" customFormat="1" ht="39" thickBot="1" x14ac:dyDescent="0.25">
      <c r="A4" s="272"/>
      <c r="B4" s="34"/>
      <c r="C4" s="273" t="s">
        <v>2</v>
      </c>
      <c r="D4" s="274" t="s">
        <v>3</v>
      </c>
      <c r="E4" s="274" t="s">
        <v>228</v>
      </c>
      <c r="F4" s="274" t="s">
        <v>6</v>
      </c>
      <c r="G4" s="275" t="s">
        <v>130</v>
      </c>
      <c r="H4" s="42"/>
      <c r="I4" s="273" t="s">
        <v>4</v>
      </c>
      <c r="J4" s="275" t="s">
        <v>226</v>
      </c>
      <c r="K4" s="276"/>
      <c r="L4" s="277"/>
      <c r="M4" s="277"/>
      <c r="N4" s="277"/>
      <c r="O4" s="277"/>
      <c r="P4" s="277"/>
      <c r="Q4" s="277"/>
      <c r="R4" s="277"/>
      <c r="S4" s="277"/>
      <c r="T4" s="277"/>
      <c r="U4" s="277"/>
      <c r="V4" s="277"/>
      <c r="W4" s="277"/>
      <c r="X4" s="277"/>
      <c r="Y4" s="277"/>
      <c r="Z4" s="277"/>
      <c r="AA4" s="277"/>
      <c r="AB4" s="277"/>
      <c r="AC4" s="277"/>
    </row>
    <row r="5" spans="1:29" ht="22.25" customHeight="1" x14ac:dyDescent="0.2">
      <c r="A5" s="267"/>
      <c r="B5" s="378" t="s">
        <v>159</v>
      </c>
      <c r="C5" s="407" t="s">
        <v>334</v>
      </c>
      <c r="D5" s="409" t="s">
        <v>335</v>
      </c>
      <c r="E5" s="279"/>
      <c r="F5" s="411" t="s">
        <v>72</v>
      </c>
      <c r="G5" s="374" t="s">
        <v>20</v>
      </c>
      <c r="H5" s="299" t="s">
        <v>11</v>
      </c>
      <c r="I5" s="280" t="s">
        <v>227</v>
      </c>
      <c r="J5" s="281">
        <v>83137730</v>
      </c>
      <c r="K5" s="271"/>
      <c r="L5" s="164"/>
      <c r="M5" s="164"/>
      <c r="N5" s="164"/>
      <c r="O5" s="164"/>
      <c r="P5" s="164"/>
      <c r="Q5" s="164"/>
      <c r="R5" s="164"/>
      <c r="S5" s="164"/>
      <c r="T5" s="164"/>
      <c r="U5" s="164"/>
      <c r="V5" s="164"/>
      <c r="W5" s="164"/>
      <c r="X5" s="164"/>
      <c r="Y5" s="164"/>
      <c r="Z5" s="164"/>
      <c r="AA5" s="164"/>
      <c r="AB5" s="164"/>
      <c r="AC5" s="164"/>
    </row>
    <row r="6" spans="1:29" ht="22.25" customHeight="1" thickBot="1" x14ac:dyDescent="0.25">
      <c r="A6" s="267"/>
      <c r="B6" s="380"/>
      <c r="C6" s="408"/>
      <c r="D6" s="410"/>
      <c r="E6" s="282"/>
      <c r="F6" s="412"/>
      <c r="G6" s="375"/>
      <c r="H6" s="300" t="s">
        <v>5</v>
      </c>
      <c r="I6" s="283" t="s">
        <v>96</v>
      </c>
      <c r="J6" s="284"/>
      <c r="K6" s="271"/>
      <c r="L6" s="164"/>
      <c r="M6" s="164"/>
      <c r="N6" s="164"/>
      <c r="O6" s="164"/>
      <c r="P6" s="164"/>
      <c r="Q6" s="164"/>
      <c r="R6" s="164"/>
      <c r="S6" s="164"/>
      <c r="T6" s="164"/>
      <c r="U6" s="164"/>
      <c r="V6" s="164"/>
      <c r="W6" s="164"/>
      <c r="X6" s="164"/>
      <c r="Y6" s="164"/>
      <c r="Z6" s="164"/>
      <c r="AA6" s="164"/>
      <c r="AB6" s="164"/>
      <c r="AC6" s="164"/>
    </row>
    <row r="7" spans="1:29" ht="6" customHeight="1" thickBot="1" x14ac:dyDescent="0.25">
      <c r="A7" s="267"/>
      <c r="B7" s="42"/>
      <c r="C7" s="42"/>
      <c r="D7" s="42"/>
      <c r="E7" s="44"/>
      <c r="F7" s="44"/>
      <c r="G7" s="44"/>
      <c r="H7" s="42"/>
      <c r="I7" s="44"/>
      <c r="J7" s="44"/>
      <c r="K7" s="271"/>
      <c r="L7" s="164"/>
      <c r="M7" s="164"/>
      <c r="N7" s="164"/>
      <c r="O7" s="164"/>
      <c r="P7" s="164"/>
      <c r="Q7" s="164"/>
      <c r="R7" s="164"/>
      <c r="S7" s="164"/>
      <c r="T7" s="164"/>
      <c r="U7" s="164"/>
      <c r="V7" s="164"/>
      <c r="W7" s="164"/>
      <c r="X7" s="164"/>
      <c r="Y7" s="164"/>
      <c r="Z7" s="164"/>
      <c r="AA7" s="164"/>
      <c r="AB7" s="164"/>
      <c r="AC7" s="164"/>
    </row>
    <row r="8" spans="1:29" ht="22.25" customHeight="1" thickBot="1" x14ac:dyDescent="0.25">
      <c r="A8" s="267"/>
      <c r="B8" s="121" t="s">
        <v>160</v>
      </c>
      <c r="C8" s="305"/>
      <c r="D8" s="305"/>
      <c r="E8" s="285"/>
      <c r="F8" s="286"/>
      <c r="G8" s="286"/>
      <c r="H8" s="301" t="s">
        <v>11</v>
      </c>
      <c r="I8" s="286"/>
      <c r="J8" s="287"/>
      <c r="K8" s="271"/>
      <c r="L8" s="164"/>
      <c r="M8" s="164"/>
      <c r="N8" s="164"/>
      <c r="O8" s="164"/>
      <c r="P8" s="164"/>
      <c r="Q8" s="164"/>
      <c r="R8" s="164"/>
      <c r="S8" s="164"/>
      <c r="T8" s="164"/>
      <c r="U8" s="164"/>
      <c r="V8" s="164"/>
      <c r="W8" s="164"/>
      <c r="X8" s="164"/>
      <c r="Y8" s="164"/>
      <c r="Z8" s="164"/>
      <c r="AA8" s="164"/>
      <c r="AB8" s="164"/>
      <c r="AC8" s="164"/>
    </row>
    <row r="9" spans="1:29" ht="22.25" customHeight="1" thickBot="1" x14ac:dyDescent="0.25">
      <c r="A9" s="267"/>
      <c r="B9" s="390" t="s">
        <v>131</v>
      </c>
      <c r="C9" s="391"/>
      <c r="D9" s="391"/>
      <c r="E9" s="391"/>
      <c r="F9" s="391"/>
      <c r="G9" s="391"/>
      <c r="H9" s="391"/>
      <c r="I9" s="391"/>
      <c r="J9" s="392"/>
      <c r="K9" s="271"/>
      <c r="L9" s="164"/>
      <c r="M9" s="164"/>
      <c r="N9" s="164"/>
      <c r="O9" s="164"/>
      <c r="P9" s="164"/>
      <c r="Q9" s="164"/>
      <c r="R9" s="164"/>
      <c r="S9" s="164"/>
      <c r="T9" s="164"/>
      <c r="U9" s="164"/>
      <c r="V9" s="164"/>
      <c r="W9" s="164"/>
      <c r="X9" s="164"/>
      <c r="Y9" s="164"/>
      <c r="Z9" s="164"/>
      <c r="AA9" s="164"/>
      <c r="AB9" s="164"/>
      <c r="AC9" s="164"/>
    </row>
    <row r="10" spans="1:29" ht="22.25" customHeight="1" x14ac:dyDescent="0.2">
      <c r="A10" s="267"/>
      <c r="B10" s="38" t="s">
        <v>161</v>
      </c>
      <c r="C10" s="306"/>
      <c r="D10" s="306"/>
      <c r="E10" s="279"/>
      <c r="F10" s="309"/>
      <c r="G10" s="309"/>
      <c r="H10" s="299" t="s">
        <v>11</v>
      </c>
      <c r="I10" s="309"/>
      <c r="J10" s="281"/>
      <c r="K10" s="271"/>
      <c r="L10" s="164"/>
      <c r="M10" s="164"/>
      <c r="N10" s="164"/>
      <c r="O10" s="164"/>
      <c r="P10" s="164"/>
      <c r="Q10" s="164"/>
      <c r="R10" s="164"/>
      <c r="S10" s="164"/>
      <c r="T10" s="164"/>
      <c r="U10" s="164"/>
      <c r="V10" s="164"/>
      <c r="W10" s="164"/>
      <c r="X10" s="164"/>
      <c r="Y10" s="164"/>
      <c r="Z10" s="164"/>
      <c r="AA10" s="164"/>
      <c r="AB10" s="164"/>
      <c r="AC10" s="164"/>
    </row>
    <row r="11" spans="1:29" ht="22.25" customHeight="1" thickBot="1" x14ac:dyDescent="0.25">
      <c r="A11" s="267"/>
      <c r="B11" s="39" t="s">
        <v>162</v>
      </c>
      <c r="C11" s="307"/>
      <c r="D11" s="307"/>
      <c r="E11" s="282"/>
      <c r="F11" s="310"/>
      <c r="G11" s="310"/>
      <c r="H11" s="300" t="s">
        <v>11</v>
      </c>
      <c r="I11" s="310"/>
      <c r="J11" s="284"/>
      <c r="K11" s="271"/>
      <c r="L11" s="164"/>
      <c r="M11" s="164"/>
      <c r="N11" s="164"/>
      <c r="O11" s="164"/>
      <c r="P11" s="164"/>
      <c r="Q11" s="164"/>
      <c r="R11" s="164"/>
      <c r="S11" s="164"/>
      <c r="T11" s="164"/>
      <c r="U11" s="164"/>
      <c r="V11" s="164"/>
      <c r="W11" s="164"/>
      <c r="X11" s="164"/>
      <c r="Y11" s="164"/>
      <c r="Z11" s="164"/>
      <c r="AA11" s="164"/>
      <c r="AB11" s="164"/>
      <c r="AC11" s="164"/>
    </row>
    <row r="12" spans="1:29" ht="6" customHeight="1" thickBot="1" x14ac:dyDescent="0.25">
      <c r="A12" s="267"/>
      <c r="B12" s="44"/>
      <c r="C12" s="42"/>
      <c r="D12" s="42"/>
      <c r="E12" s="44"/>
      <c r="F12" s="44"/>
      <c r="G12" s="44"/>
      <c r="H12" s="42"/>
      <c r="I12" s="44"/>
      <c r="J12" s="44"/>
      <c r="K12" s="271"/>
      <c r="L12" s="164"/>
      <c r="M12" s="164"/>
      <c r="N12" s="164"/>
      <c r="O12" s="164"/>
      <c r="P12" s="164"/>
      <c r="Q12" s="164"/>
      <c r="R12" s="164"/>
      <c r="S12" s="164"/>
      <c r="T12" s="164"/>
      <c r="U12" s="164"/>
      <c r="V12" s="164"/>
      <c r="W12" s="164"/>
      <c r="X12" s="164"/>
      <c r="Y12" s="164"/>
      <c r="Z12" s="164"/>
      <c r="AA12" s="164"/>
      <c r="AB12" s="164"/>
      <c r="AC12" s="164"/>
    </row>
    <row r="13" spans="1:29" ht="22.25" customHeight="1" thickBot="1" x14ac:dyDescent="0.25">
      <c r="A13" s="267"/>
      <c r="B13" s="121" t="s">
        <v>163</v>
      </c>
      <c r="C13" s="305"/>
      <c r="D13" s="305"/>
      <c r="E13" s="285"/>
      <c r="F13" s="286"/>
      <c r="G13" s="286"/>
      <c r="H13" s="301" t="s">
        <v>11</v>
      </c>
      <c r="I13" s="286"/>
      <c r="J13" s="287"/>
      <c r="K13" s="271"/>
      <c r="L13" s="164"/>
      <c r="M13" s="164"/>
      <c r="N13" s="164"/>
      <c r="O13" s="164"/>
      <c r="P13" s="164"/>
      <c r="Q13" s="164"/>
      <c r="R13" s="164"/>
      <c r="S13" s="164"/>
      <c r="T13" s="164"/>
      <c r="U13" s="164"/>
      <c r="V13" s="164"/>
      <c r="W13" s="164"/>
      <c r="X13" s="164"/>
      <c r="Y13" s="164"/>
      <c r="Z13" s="164"/>
      <c r="AA13" s="164"/>
      <c r="AB13" s="164"/>
      <c r="AC13" s="164"/>
    </row>
    <row r="14" spans="1:29" ht="22.25" customHeight="1" thickBot="1" x14ac:dyDescent="0.25">
      <c r="A14" s="267"/>
      <c r="B14" s="390" t="s">
        <v>132</v>
      </c>
      <c r="C14" s="391"/>
      <c r="D14" s="391"/>
      <c r="E14" s="391"/>
      <c r="F14" s="391"/>
      <c r="G14" s="391"/>
      <c r="H14" s="391"/>
      <c r="I14" s="391"/>
      <c r="J14" s="392"/>
      <c r="K14" s="271"/>
      <c r="L14" s="164"/>
      <c r="M14" s="164"/>
      <c r="N14" s="164"/>
      <c r="O14" s="164"/>
      <c r="P14" s="164"/>
      <c r="Q14" s="164"/>
      <c r="R14" s="164"/>
      <c r="S14" s="164"/>
      <c r="T14" s="164"/>
      <c r="U14" s="164"/>
      <c r="V14" s="164"/>
      <c r="W14" s="164"/>
      <c r="X14" s="164"/>
      <c r="Y14" s="164"/>
      <c r="Z14" s="164"/>
      <c r="AA14" s="164"/>
      <c r="AB14" s="164"/>
      <c r="AC14" s="164"/>
    </row>
    <row r="15" spans="1:29" ht="22.25" customHeight="1" x14ac:dyDescent="0.2">
      <c r="A15" s="267"/>
      <c r="B15" s="38" t="s">
        <v>164</v>
      </c>
      <c r="C15" s="306"/>
      <c r="D15" s="306"/>
      <c r="E15" s="279"/>
      <c r="F15" s="280"/>
      <c r="G15" s="280"/>
      <c r="H15" s="299" t="s">
        <v>11</v>
      </c>
      <c r="I15" s="280"/>
      <c r="J15" s="281"/>
      <c r="K15" s="271"/>
      <c r="L15" s="164"/>
      <c r="M15" s="164"/>
      <c r="N15" s="164"/>
      <c r="O15" s="164"/>
      <c r="P15" s="164"/>
      <c r="Q15" s="164"/>
      <c r="R15" s="164"/>
      <c r="S15" s="164"/>
      <c r="T15" s="164"/>
      <c r="U15" s="164"/>
      <c r="V15" s="164"/>
      <c r="W15" s="164"/>
      <c r="X15" s="164"/>
      <c r="Y15" s="164"/>
      <c r="Z15" s="164"/>
      <c r="AA15" s="164"/>
      <c r="AB15" s="164"/>
      <c r="AC15" s="164"/>
    </row>
    <row r="16" spans="1:29" ht="22.25" customHeight="1" thickBot="1" x14ac:dyDescent="0.25">
      <c r="A16" s="267"/>
      <c r="B16" s="39" t="s">
        <v>165</v>
      </c>
      <c r="C16" s="307"/>
      <c r="D16" s="307"/>
      <c r="E16" s="282"/>
      <c r="F16" s="283"/>
      <c r="G16" s="283"/>
      <c r="H16" s="300" t="s">
        <v>11</v>
      </c>
      <c r="I16" s="283"/>
      <c r="J16" s="284"/>
      <c r="K16" s="271"/>
      <c r="L16" s="164"/>
      <c r="M16" s="164"/>
      <c r="N16" s="164"/>
      <c r="O16" s="164"/>
      <c r="P16" s="164"/>
      <c r="Q16" s="164"/>
      <c r="R16" s="164"/>
      <c r="S16" s="164"/>
      <c r="T16" s="164"/>
      <c r="U16" s="164"/>
      <c r="V16" s="164"/>
      <c r="W16" s="164"/>
      <c r="X16" s="164"/>
      <c r="Y16" s="164"/>
      <c r="Z16" s="164"/>
      <c r="AA16" s="164"/>
      <c r="AB16" s="164"/>
      <c r="AC16" s="164"/>
    </row>
    <row r="17" spans="1:29" ht="6" customHeight="1" thickBot="1" x14ac:dyDescent="0.25">
      <c r="A17" s="267"/>
      <c r="B17" s="44"/>
      <c r="C17" s="44"/>
      <c r="D17" s="44"/>
      <c r="E17" s="44"/>
      <c r="F17" s="44"/>
      <c r="G17" s="44"/>
      <c r="H17" s="42"/>
      <c r="I17" s="44"/>
      <c r="J17" s="44"/>
      <c r="K17" s="271"/>
      <c r="L17" s="164"/>
      <c r="M17" s="164"/>
      <c r="N17" s="164"/>
      <c r="O17" s="164"/>
      <c r="P17" s="164"/>
      <c r="Q17" s="164"/>
      <c r="R17" s="164"/>
      <c r="S17" s="164"/>
      <c r="T17" s="164"/>
      <c r="U17" s="164"/>
      <c r="V17" s="164"/>
      <c r="W17" s="164"/>
      <c r="X17" s="164"/>
      <c r="Y17" s="164"/>
      <c r="Z17" s="164"/>
      <c r="AA17" s="164"/>
      <c r="AB17" s="164"/>
      <c r="AC17" s="164"/>
    </row>
    <row r="18" spans="1:29" ht="22.25" customHeight="1" thickBot="1" x14ac:dyDescent="0.25">
      <c r="A18" s="267"/>
      <c r="B18" s="121" t="s">
        <v>166</v>
      </c>
      <c r="C18" s="305"/>
      <c r="D18" s="305"/>
      <c r="E18" s="285"/>
      <c r="F18" s="286"/>
      <c r="G18" s="286"/>
      <c r="H18" s="301" t="s">
        <v>11</v>
      </c>
      <c r="I18" s="286"/>
      <c r="J18" s="287"/>
      <c r="K18" s="271"/>
      <c r="L18" s="164"/>
      <c r="M18" s="164"/>
      <c r="N18" s="164"/>
      <c r="O18" s="164"/>
      <c r="P18" s="164"/>
      <c r="Q18" s="164"/>
      <c r="R18" s="164"/>
      <c r="S18" s="164"/>
      <c r="T18" s="164"/>
      <c r="U18" s="164"/>
      <c r="V18" s="164"/>
      <c r="W18" s="164"/>
      <c r="X18" s="164"/>
      <c r="Y18" s="164"/>
      <c r="Z18" s="164"/>
      <c r="AA18" s="164"/>
      <c r="AB18" s="164"/>
      <c r="AC18" s="164"/>
    </row>
    <row r="19" spans="1:29" ht="22.25" customHeight="1" thickBot="1" x14ac:dyDescent="0.25">
      <c r="A19" s="267"/>
      <c r="B19" s="390" t="s">
        <v>133</v>
      </c>
      <c r="C19" s="391"/>
      <c r="D19" s="391"/>
      <c r="E19" s="391"/>
      <c r="F19" s="391"/>
      <c r="G19" s="391"/>
      <c r="H19" s="391"/>
      <c r="I19" s="391"/>
      <c r="J19" s="392"/>
      <c r="K19" s="271"/>
      <c r="L19" s="164"/>
      <c r="M19" s="164"/>
      <c r="N19" s="164"/>
      <c r="O19" s="164"/>
      <c r="P19" s="164"/>
      <c r="Q19" s="164"/>
      <c r="R19" s="164"/>
      <c r="S19" s="164"/>
      <c r="T19" s="164"/>
      <c r="U19" s="164"/>
      <c r="V19" s="164"/>
      <c r="W19" s="164"/>
      <c r="X19" s="164"/>
      <c r="Y19" s="164"/>
      <c r="Z19" s="164"/>
      <c r="AA19" s="164"/>
      <c r="AB19" s="164"/>
      <c r="AC19" s="164"/>
    </row>
    <row r="20" spans="1:29" ht="22.25" customHeight="1" x14ac:dyDescent="0.2">
      <c r="A20" s="267"/>
      <c r="B20" s="38" t="s">
        <v>167</v>
      </c>
      <c r="C20" s="306"/>
      <c r="D20" s="306"/>
      <c r="E20" s="279"/>
      <c r="F20" s="280"/>
      <c r="G20" s="280"/>
      <c r="H20" s="299" t="s">
        <v>11</v>
      </c>
      <c r="I20" s="280"/>
      <c r="J20" s="281"/>
      <c r="K20" s="271"/>
      <c r="L20" s="164"/>
      <c r="M20" s="164"/>
      <c r="N20" s="164"/>
      <c r="O20" s="164"/>
      <c r="P20" s="164"/>
      <c r="Q20" s="164"/>
      <c r="R20" s="164"/>
      <c r="S20" s="164"/>
      <c r="T20" s="164"/>
      <c r="U20" s="164"/>
      <c r="V20" s="164"/>
      <c r="W20" s="164"/>
      <c r="X20" s="164"/>
      <c r="Y20" s="164"/>
      <c r="Z20" s="164"/>
      <c r="AA20" s="164"/>
      <c r="AB20" s="164"/>
      <c r="AC20" s="164"/>
    </row>
    <row r="21" spans="1:29" ht="22.25" customHeight="1" thickBot="1" x14ac:dyDescent="0.25">
      <c r="A21" s="267"/>
      <c r="B21" s="39" t="s">
        <v>168</v>
      </c>
      <c r="C21" s="307"/>
      <c r="D21" s="307"/>
      <c r="E21" s="282" t="s">
        <v>105</v>
      </c>
      <c r="F21" s="283"/>
      <c r="G21" s="283"/>
      <c r="H21" s="300" t="s">
        <v>11</v>
      </c>
      <c r="I21" s="283"/>
      <c r="J21" s="284"/>
      <c r="K21" s="271"/>
      <c r="L21" s="164"/>
      <c r="M21" s="164"/>
      <c r="N21" s="164"/>
      <c r="O21" s="164"/>
      <c r="P21" s="164"/>
      <c r="Q21" s="164"/>
      <c r="R21" s="164"/>
      <c r="S21" s="164"/>
      <c r="T21" s="164"/>
      <c r="U21" s="164"/>
      <c r="V21" s="164"/>
      <c r="W21" s="164"/>
      <c r="X21" s="164"/>
      <c r="Y21" s="164"/>
      <c r="Z21" s="164"/>
      <c r="AA21" s="164"/>
      <c r="AB21" s="164"/>
      <c r="AC21" s="164"/>
    </row>
    <row r="22" spans="1:29" ht="6" customHeight="1" thickBot="1" x14ac:dyDescent="0.25">
      <c r="A22" s="267"/>
      <c r="B22" s="42"/>
      <c r="C22" s="42"/>
      <c r="D22" s="42"/>
      <c r="E22" s="44"/>
      <c r="F22" s="44"/>
      <c r="G22" s="44"/>
      <c r="H22" s="42"/>
      <c r="I22" s="44"/>
      <c r="J22" s="44"/>
      <c r="K22" s="271"/>
      <c r="L22" s="164"/>
      <c r="M22" s="164"/>
      <c r="N22" s="164"/>
      <c r="O22" s="164"/>
      <c r="P22" s="164"/>
      <c r="Q22" s="164"/>
      <c r="R22" s="164"/>
      <c r="S22" s="164"/>
      <c r="T22" s="164"/>
      <c r="U22" s="164"/>
      <c r="V22" s="164"/>
      <c r="W22" s="164"/>
      <c r="X22" s="164"/>
      <c r="Y22" s="164"/>
      <c r="Z22" s="164"/>
      <c r="AA22" s="164"/>
      <c r="AB22" s="164"/>
      <c r="AC22" s="164"/>
    </row>
    <row r="23" spans="1:29" ht="22.25" customHeight="1" thickBot="1" x14ac:dyDescent="0.25">
      <c r="A23" s="267"/>
      <c r="B23" s="43" t="s">
        <v>7</v>
      </c>
      <c r="C23" s="42"/>
      <c r="D23" s="42"/>
      <c r="E23" s="44"/>
      <c r="F23" s="44"/>
      <c r="G23" s="44"/>
      <c r="H23" s="42"/>
      <c r="I23" s="44"/>
      <c r="J23" s="44"/>
      <c r="K23" s="271"/>
      <c r="L23" s="164"/>
      <c r="M23" s="164"/>
      <c r="N23" s="164"/>
      <c r="O23" s="164"/>
      <c r="P23" s="164"/>
      <c r="Q23" s="164"/>
      <c r="R23" s="164"/>
      <c r="S23" s="164"/>
      <c r="T23" s="164"/>
      <c r="U23" s="164"/>
      <c r="V23" s="164"/>
      <c r="W23" s="164"/>
      <c r="X23" s="164"/>
      <c r="Y23" s="164"/>
      <c r="Z23" s="164"/>
      <c r="AA23" s="164"/>
      <c r="AB23" s="164"/>
      <c r="AC23" s="164"/>
    </row>
    <row r="24" spans="1:29" s="289" customFormat="1" ht="34.25" customHeight="1" thickBot="1" x14ac:dyDescent="0.25">
      <c r="A24" s="272"/>
      <c r="B24" s="395" t="s">
        <v>225</v>
      </c>
      <c r="C24" s="396"/>
      <c r="D24" s="396"/>
      <c r="E24" s="396"/>
      <c r="F24" s="396"/>
      <c r="G24" s="396"/>
      <c r="H24" s="396"/>
      <c r="I24" s="396"/>
      <c r="J24" s="397"/>
      <c r="K24" s="276"/>
      <c r="L24" s="288"/>
      <c r="M24" s="288"/>
      <c r="N24" s="288"/>
      <c r="O24" s="288"/>
      <c r="P24" s="288"/>
      <c r="Q24" s="288"/>
      <c r="R24" s="288"/>
      <c r="S24" s="288"/>
      <c r="T24" s="288"/>
      <c r="U24" s="288"/>
      <c r="V24" s="288"/>
      <c r="W24" s="288"/>
      <c r="X24" s="288"/>
      <c r="Y24" s="288"/>
      <c r="Z24" s="288"/>
      <c r="AA24" s="288"/>
      <c r="AB24" s="288"/>
      <c r="AC24" s="288"/>
    </row>
    <row r="25" spans="1:29" ht="22.25" customHeight="1" x14ac:dyDescent="0.2">
      <c r="A25" s="267"/>
      <c r="B25" s="398" t="s">
        <v>356</v>
      </c>
      <c r="C25" s="399"/>
      <c r="D25" s="399"/>
      <c r="E25" s="399"/>
      <c r="F25" s="399"/>
      <c r="G25" s="399"/>
      <c r="H25" s="399"/>
      <c r="I25" s="399"/>
      <c r="J25" s="400"/>
      <c r="K25" s="271"/>
      <c r="L25" s="164"/>
      <c r="M25" s="164"/>
      <c r="N25" s="164"/>
      <c r="O25" s="164"/>
      <c r="P25" s="164"/>
      <c r="Q25" s="164"/>
      <c r="R25" s="164"/>
      <c r="S25" s="164"/>
      <c r="T25" s="164"/>
      <c r="U25" s="164"/>
      <c r="V25" s="164"/>
      <c r="W25" s="164"/>
      <c r="X25" s="164"/>
      <c r="Y25" s="164"/>
      <c r="Z25" s="164"/>
      <c r="AA25" s="164"/>
      <c r="AB25" s="164"/>
      <c r="AC25" s="164"/>
    </row>
    <row r="26" spans="1:29" ht="22.25" customHeight="1" x14ac:dyDescent="0.2">
      <c r="A26" s="267"/>
      <c r="B26" s="401"/>
      <c r="C26" s="402"/>
      <c r="D26" s="402"/>
      <c r="E26" s="402"/>
      <c r="F26" s="402"/>
      <c r="G26" s="402"/>
      <c r="H26" s="402"/>
      <c r="I26" s="402"/>
      <c r="J26" s="403"/>
      <c r="K26" s="271"/>
      <c r="L26" s="164"/>
      <c r="M26" s="164"/>
      <c r="N26" s="164"/>
      <c r="O26" s="164"/>
      <c r="P26" s="164"/>
      <c r="Q26" s="164"/>
      <c r="R26" s="164"/>
      <c r="S26" s="164"/>
      <c r="T26" s="164"/>
      <c r="U26" s="164"/>
      <c r="V26" s="164"/>
      <c r="W26" s="164"/>
      <c r="X26" s="164"/>
      <c r="Y26" s="164"/>
      <c r="Z26" s="164"/>
      <c r="AA26" s="164"/>
      <c r="AB26" s="164"/>
      <c r="AC26" s="164"/>
    </row>
    <row r="27" spans="1:29" ht="22.25" customHeight="1" x14ac:dyDescent="0.2">
      <c r="A27" s="267"/>
      <c r="B27" s="401"/>
      <c r="C27" s="402"/>
      <c r="D27" s="402"/>
      <c r="E27" s="402"/>
      <c r="F27" s="402"/>
      <c r="G27" s="402"/>
      <c r="H27" s="402"/>
      <c r="I27" s="402"/>
      <c r="J27" s="403"/>
      <c r="K27" s="271"/>
      <c r="L27" s="164"/>
      <c r="M27" s="164"/>
      <c r="N27" s="164"/>
      <c r="O27" s="164"/>
      <c r="P27" s="164"/>
      <c r="Q27" s="164"/>
      <c r="R27" s="164"/>
      <c r="S27" s="164"/>
      <c r="T27" s="164"/>
      <c r="U27" s="164"/>
      <c r="V27" s="164"/>
      <c r="W27" s="164"/>
      <c r="X27" s="164"/>
      <c r="Y27" s="164"/>
      <c r="Z27" s="164"/>
      <c r="AA27" s="164"/>
      <c r="AB27" s="164"/>
      <c r="AC27" s="164"/>
    </row>
    <row r="28" spans="1:29" ht="22.25" customHeight="1" x14ac:dyDescent="0.2">
      <c r="A28" s="267"/>
      <c r="B28" s="401"/>
      <c r="C28" s="402"/>
      <c r="D28" s="402"/>
      <c r="E28" s="402"/>
      <c r="F28" s="402"/>
      <c r="G28" s="402"/>
      <c r="H28" s="402"/>
      <c r="I28" s="402"/>
      <c r="J28" s="403"/>
      <c r="K28" s="271"/>
      <c r="L28" s="164"/>
      <c r="M28" s="164"/>
      <c r="N28" s="164"/>
      <c r="O28" s="164"/>
      <c r="P28" s="164"/>
      <c r="Q28" s="164"/>
      <c r="R28" s="164"/>
      <c r="S28" s="164"/>
      <c r="T28" s="164"/>
      <c r="U28" s="164"/>
      <c r="V28" s="164"/>
      <c r="W28" s="164"/>
      <c r="X28" s="164"/>
      <c r="Y28" s="164"/>
      <c r="Z28" s="164"/>
      <c r="AA28" s="164"/>
      <c r="AB28" s="164"/>
      <c r="AC28" s="164"/>
    </row>
    <row r="29" spans="1:29" ht="22.25" customHeight="1" x14ac:dyDescent="0.2">
      <c r="A29" s="267"/>
      <c r="B29" s="401"/>
      <c r="C29" s="402"/>
      <c r="D29" s="402"/>
      <c r="E29" s="402"/>
      <c r="F29" s="402"/>
      <c r="G29" s="402"/>
      <c r="H29" s="402"/>
      <c r="I29" s="402"/>
      <c r="J29" s="403"/>
      <c r="K29" s="271"/>
      <c r="L29" s="164"/>
      <c r="M29" s="164"/>
      <c r="N29" s="164"/>
      <c r="O29" s="164"/>
      <c r="P29" s="164"/>
      <c r="Q29" s="164"/>
      <c r="R29" s="164"/>
      <c r="S29" s="164"/>
      <c r="T29" s="164"/>
      <c r="U29" s="164"/>
      <c r="V29" s="164"/>
      <c r="W29" s="164"/>
      <c r="X29" s="164"/>
      <c r="Y29" s="164"/>
      <c r="Z29" s="164"/>
      <c r="AA29" s="164"/>
      <c r="AB29" s="164"/>
      <c r="AC29" s="164"/>
    </row>
    <row r="30" spans="1:29" ht="22.25" customHeight="1" x14ac:dyDescent="0.2">
      <c r="A30" s="267"/>
      <c r="B30" s="401"/>
      <c r="C30" s="402"/>
      <c r="D30" s="402"/>
      <c r="E30" s="402"/>
      <c r="F30" s="402"/>
      <c r="G30" s="402"/>
      <c r="H30" s="402"/>
      <c r="I30" s="402"/>
      <c r="J30" s="403"/>
      <c r="K30" s="271"/>
      <c r="L30" s="164"/>
      <c r="M30" s="164"/>
      <c r="N30" s="164"/>
      <c r="O30" s="164"/>
      <c r="P30" s="164"/>
      <c r="Q30" s="164"/>
      <c r="R30" s="164"/>
      <c r="S30" s="164"/>
      <c r="T30" s="164"/>
      <c r="U30" s="164"/>
      <c r="V30" s="164"/>
      <c r="W30" s="164"/>
      <c r="X30" s="164"/>
      <c r="Y30" s="164"/>
      <c r="Z30" s="164"/>
      <c r="AA30" s="164"/>
      <c r="AB30" s="164"/>
      <c r="AC30" s="164"/>
    </row>
    <row r="31" spans="1:29" ht="22.25" customHeight="1" x14ac:dyDescent="0.2">
      <c r="A31" s="267"/>
      <c r="B31" s="401"/>
      <c r="C31" s="402"/>
      <c r="D31" s="402"/>
      <c r="E31" s="402"/>
      <c r="F31" s="402"/>
      <c r="G31" s="402"/>
      <c r="H31" s="402"/>
      <c r="I31" s="402"/>
      <c r="J31" s="403"/>
      <c r="K31" s="271"/>
      <c r="L31" s="164"/>
      <c r="M31" s="164"/>
      <c r="N31" s="164"/>
      <c r="O31" s="164"/>
      <c r="P31" s="164"/>
      <c r="Q31" s="164"/>
      <c r="R31" s="164"/>
      <c r="S31" s="164"/>
      <c r="T31" s="164"/>
      <c r="U31" s="164"/>
      <c r="V31" s="164"/>
      <c r="W31" s="164"/>
      <c r="X31" s="164"/>
      <c r="Y31" s="164"/>
      <c r="Z31" s="164"/>
      <c r="AA31" s="164"/>
      <c r="AB31" s="164"/>
      <c r="AC31" s="164"/>
    </row>
    <row r="32" spans="1:29" ht="22.25" customHeight="1" x14ac:dyDescent="0.2">
      <c r="A32" s="267"/>
      <c r="B32" s="401"/>
      <c r="C32" s="402"/>
      <c r="D32" s="402"/>
      <c r="E32" s="402"/>
      <c r="F32" s="402"/>
      <c r="G32" s="402"/>
      <c r="H32" s="402"/>
      <c r="I32" s="402"/>
      <c r="J32" s="403"/>
      <c r="K32" s="271"/>
      <c r="L32" s="164"/>
      <c r="M32" s="164"/>
      <c r="N32" s="164"/>
      <c r="O32" s="164"/>
      <c r="P32" s="164"/>
      <c r="Q32" s="164"/>
      <c r="R32" s="164"/>
      <c r="S32" s="164"/>
      <c r="T32" s="164"/>
      <c r="U32" s="164"/>
      <c r="V32" s="164"/>
      <c r="W32" s="164"/>
      <c r="X32" s="164"/>
      <c r="Y32" s="164"/>
      <c r="Z32" s="164"/>
      <c r="AA32" s="164"/>
      <c r="AB32" s="164"/>
      <c r="AC32" s="164"/>
    </row>
    <row r="33" spans="1:29" ht="22.25" customHeight="1" x14ac:dyDescent="0.2">
      <c r="A33" s="267"/>
      <c r="B33" s="401"/>
      <c r="C33" s="402"/>
      <c r="D33" s="402"/>
      <c r="E33" s="402"/>
      <c r="F33" s="402"/>
      <c r="G33" s="402"/>
      <c r="H33" s="402"/>
      <c r="I33" s="402"/>
      <c r="J33" s="403"/>
      <c r="K33" s="271"/>
      <c r="L33" s="164"/>
      <c r="M33" s="164"/>
      <c r="N33" s="164"/>
      <c r="O33" s="164"/>
      <c r="P33" s="164"/>
      <c r="Q33" s="164"/>
      <c r="R33" s="164"/>
      <c r="S33" s="164"/>
      <c r="T33" s="164"/>
      <c r="U33" s="164"/>
      <c r="V33" s="164"/>
      <c r="W33" s="164"/>
      <c r="X33" s="164"/>
      <c r="Y33" s="164"/>
      <c r="Z33" s="164"/>
      <c r="AA33" s="164"/>
      <c r="AB33" s="164"/>
      <c r="AC33" s="164"/>
    </row>
    <row r="34" spans="1:29" ht="22.25" customHeight="1" x14ac:dyDescent="0.2">
      <c r="A34" s="267"/>
      <c r="B34" s="401"/>
      <c r="C34" s="402"/>
      <c r="D34" s="402"/>
      <c r="E34" s="402"/>
      <c r="F34" s="402"/>
      <c r="G34" s="402"/>
      <c r="H34" s="402"/>
      <c r="I34" s="402"/>
      <c r="J34" s="403"/>
      <c r="K34" s="271"/>
      <c r="L34" s="164"/>
      <c r="M34" s="164"/>
      <c r="N34" s="164"/>
      <c r="O34" s="164"/>
      <c r="P34" s="164"/>
      <c r="Q34" s="164"/>
      <c r="R34" s="164"/>
      <c r="S34" s="164"/>
      <c r="T34" s="164"/>
      <c r="U34" s="164"/>
      <c r="V34" s="164"/>
      <c r="W34" s="164"/>
      <c r="X34" s="164"/>
      <c r="Y34" s="164"/>
      <c r="Z34" s="164"/>
      <c r="AA34" s="164"/>
      <c r="AB34" s="164"/>
      <c r="AC34" s="164"/>
    </row>
    <row r="35" spans="1:29" ht="22.25" customHeight="1" x14ac:dyDescent="0.2">
      <c r="A35" s="267"/>
      <c r="B35" s="401"/>
      <c r="C35" s="402"/>
      <c r="D35" s="402"/>
      <c r="E35" s="402"/>
      <c r="F35" s="402"/>
      <c r="G35" s="402"/>
      <c r="H35" s="402"/>
      <c r="I35" s="402"/>
      <c r="J35" s="403"/>
      <c r="K35" s="271"/>
      <c r="L35" s="164"/>
      <c r="M35" s="164"/>
      <c r="N35" s="164"/>
      <c r="O35" s="164"/>
      <c r="P35" s="164"/>
      <c r="Q35" s="164"/>
      <c r="R35" s="164"/>
      <c r="S35" s="164"/>
      <c r="T35" s="164"/>
      <c r="U35" s="164"/>
      <c r="V35" s="164"/>
      <c r="W35" s="164"/>
      <c r="X35" s="164"/>
      <c r="Y35" s="164"/>
      <c r="Z35" s="164"/>
      <c r="AA35" s="164"/>
      <c r="AB35" s="164"/>
      <c r="AC35" s="164"/>
    </row>
    <row r="36" spans="1:29" ht="22.25" customHeight="1" x14ac:dyDescent="0.2">
      <c r="A36" s="267"/>
      <c r="B36" s="401"/>
      <c r="C36" s="402"/>
      <c r="D36" s="402"/>
      <c r="E36" s="402"/>
      <c r="F36" s="402"/>
      <c r="G36" s="402"/>
      <c r="H36" s="402"/>
      <c r="I36" s="402"/>
      <c r="J36" s="403"/>
      <c r="K36" s="271"/>
      <c r="L36" s="164"/>
      <c r="M36" s="164"/>
      <c r="N36" s="164"/>
      <c r="O36" s="164"/>
      <c r="P36" s="164"/>
      <c r="Q36" s="164"/>
      <c r="R36" s="164"/>
      <c r="S36" s="164"/>
      <c r="T36" s="164"/>
      <c r="U36" s="164"/>
      <c r="V36" s="164"/>
      <c r="W36" s="164"/>
      <c r="X36" s="164"/>
      <c r="Y36" s="164"/>
      <c r="Z36" s="164"/>
      <c r="AA36" s="164"/>
      <c r="AB36" s="164"/>
      <c r="AC36" s="164"/>
    </row>
    <row r="37" spans="1:29" ht="128" customHeight="1" x14ac:dyDescent="0.2">
      <c r="A37" s="267"/>
      <c r="B37" s="401"/>
      <c r="C37" s="402"/>
      <c r="D37" s="402"/>
      <c r="E37" s="402"/>
      <c r="F37" s="402"/>
      <c r="G37" s="402"/>
      <c r="H37" s="402"/>
      <c r="I37" s="402"/>
      <c r="J37" s="403"/>
      <c r="K37" s="271"/>
      <c r="L37" s="164"/>
      <c r="M37" s="164"/>
      <c r="N37" s="164"/>
      <c r="O37" s="164"/>
      <c r="P37" s="164"/>
      <c r="Q37" s="164"/>
      <c r="R37" s="164"/>
      <c r="S37" s="164"/>
      <c r="T37" s="164"/>
      <c r="U37" s="164"/>
      <c r="V37" s="164"/>
      <c r="W37" s="164"/>
      <c r="X37" s="164"/>
      <c r="Y37" s="164"/>
      <c r="Z37" s="164"/>
      <c r="AA37" s="164"/>
      <c r="AB37" s="164"/>
      <c r="AC37" s="164"/>
    </row>
    <row r="38" spans="1:29" ht="22.25" customHeight="1" x14ac:dyDescent="0.2">
      <c r="A38" s="267"/>
      <c r="B38" s="401"/>
      <c r="C38" s="402"/>
      <c r="D38" s="402"/>
      <c r="E38" s="402"/>
      <c r="F38" s="402"/>
      <c r="G38" s="402"/>
      <c r="H38" s="402"/>
      <c r="I38" s="402"/>
      <c r="J38" s="403"/>
      <c r="K38" s="271"/>
      <c r="L38" s="164"/>
      <c r="M38" s="164"/>
      <c r="N38" s="164"/>
      <c r="O38" s="164"/>
      <c r="P38" s="164"/>
      <c r="Q38" s="164"/>
      <c r="R38" s="164"/>
      <c r="S38" s="164"/>
      <c r="T38" s="164"/>
      <c r="U38" s="164"/>
      <c r="V38" s="164"/>
      <c r="W38" s="164"/>
      <c r="X38" s="164"/>
      <c r="Y38" s="164"/>
      <c r="Z38" s="164"/>
      <c r="AA38" s="164"/>
      <c r="AB38" s="164"/>
      <c r="AC38" s="164"/>
    </row>
    <row r="39" spans="1:29" ht="22.25" customHeight="1" x14ac:dyDescent="0.2">
      <c r="A39" s="267"/>
      <c r="B39" s="401"/>
      <c r="C39" s="402"/>
      <c r="D39" s="402"/>
      <c r="E39" s="402"/>
      <c r="F39" s="402"/>
      <c r="G39" s="402"/>
      <c r="H39" s="402"/>
      <c r="I39" s="402"/>
      <c r="J39" s="403"/>
      <c r="K39" s="271"/>
      <c r="L39" s="164"/>
      <c r="M39" s="164"/>
      <c r="N39" s="164"/>
      <c r="O39" s="164"/>
      <c r="P39" s="164"/>
      <c r="Q39" s="164"/>
      <c r="R39" s="164"/>
      <c r="S39" s="164"/>
      <c r="T39" s="164"/>
      <c r="U39" s="164"/>
      <c r="V39" s="164"/>
      <c r="W39" s="164"/>
      <c r="X39" s="164"/>
      <c r="Y39" s="164"/>
      <c r="Z39" s="164"/>
      <c r="AA39" s="164"/>
      <c r="AB39" s="164"/>
      <c r="AC39" s="164"/>
    </row>
    <row r="40" spans="1:29" ht="22" customHeight="1" thickBot="1" x14ac:dyDescent="0.25">
      <c r="A40" s="267"/>
      <c r="B40" s="404"/>
      <c r="C40" s="405"/>
      <c r="D40" s="405"/>
      <c r="E40" s="405"/>
      <c r="F40" s="405"/>
      <c r="G40" s="405"/>
      <c r="H40" s="405"/>
      <c r="I40" s="405"/>
      <c r="J40" s="406"/>
      <c r="K40" s="271"/>
      <c r="L40" s="164"/>
      <c r="M40" s="164"/>
      <c r="N40" s="164"/>
      <c r="O40" s="164"/>
      <c r="P40" s="164"/>
      <c r="Q40" s="164"/>
      <c r="R40" s="164"/>
      <c r="S40" s="164"/>
      <c r="T40" s="164"/>
      <c r="U40" s="164"/>
      <c r="V40" s="164"/>
      <c r="W40" s="164"/>
      <c r="X40" s="164"/>
      <c r="Y40" s="164"/>
      <c r="Z40" s="164"/>
      <c r="AA40" s="164"/>
      <c r="AB40" s="164"/>
      <c r="AC40" s="164"/>
    </row>
    <row r="41" spans="1:29" ht="6" customHeight="1" x14ac:dyDescent="0.2">
      <c r="A41" s="267"/>
      <c r="B41" s="44"/>
      <c r="C41" s="44"/>
      <c r="D41" s="44"/>
      <c r="E41" s="44"/>
      <c r="F41" s="44"/>
      <c r="G41" s="44"/>
      <c r="H41" s="42"/>
      <c r="I41" s="44"/>
      <c r="J41" s="44"/>
      <c r="K41" s="271"/>
      <c r="L41" s="164"/>
      <c r="M41" s="164"/>
      <c r="N41" s="164"/>
      <c r="O41" s="164"/>
      <c r="P41" s="164"/>
      <c r="Q41" s="164"/>
      <c r="R41" s="164"/>
      <c r="S41" s="164"/>
      <c r="T41" s="164"/>
      <c r="U41" s="164"/>
      <c r="V41" s="164"/>
      <c r="W41" s="164"/>
      <c r="X41" s="164"/>
      <c r="Y41" s="164"/>
      <c r="Z41" s="164"/>
      <c r="AA41" s="164"/>
      <c r="AB41" s="164"/>
      <c r="AC41" s="164"/>
    </row>
    <row r="42" spans="1:29" s="291" customFormat="1" ht="6" customHeight="1" thickBot="1" x14ac:dyDescent="0.25">
      <c r="A42" s="267"/>
      <c r="B42" s="44"/>
      <c r="C42" s="44"/>
      <c r="D42" s="44"/>
      <c r="E42" s="44"/>
      <c r="F42" s="44"/>
      <c r="G42" s="44"/>
      <c r="H42" s="42"/>
      <c r="I42" s="44"/>
      <c r="J42" s="44"/>
      <c r="K42" s="271"/>
      <c r="L42" s="290"/>
      <c r="M42" s="290"/>
      <c r="N42" s="290"/>
      <c r="O42" s="290"/>
      <c r="P42" s="290"/>
      <c r="Q42" s="290"/>
      <c r="R42" s="290"/>
      <c r="S42" s="290"/>
      <c r="T42" s="290"/>
      <c r="U42" s="290"/>
      <c r="V42" s="290"/>
      <c r="W42" s="290"/>
      <c r="X42" s="290"/>
      <c r="Y42" s="290"/>
      <c r="Z42" s="290"/>
      <c r="AA42" s="290"/>
      <c r="AB42" s="290"/>
      <c r="AC42" s="290"/>
    </row>
    <row r="43" spans="1:29" s="291" customFormat="1" ht="22.25" customHeight="1" x14ac:dyDescent="0.2">
      <c r="A43" s="267"/>
      <c r="B43" s="393" t="s">
        <v>143</v>
      </c>
      <c r="C43" s="378" t="s">
        <v>100</v>
      </c>
      <c r="D43" s="378" t="s">
        <v>101</v>
      </c>
      <c r="E43" s="378" t="s">
        <v>102</v>
      </c>
      <c r="F43" s="378" t="s">
        <v>103</v>
      </c>
      <c r="G43" s="378" t="s">
        <v>104</v>
      </c>
      <c r="H43" s="42"/>
      <c r="I43" s="387" t="s">
        <v>10</v>
      </c>
      <c r="J43" s="44"/>
      <c r="K43" s="271"/>
      <c r="L43" s="290"/>
      <c r="M43" s="290"/>
      <c r="N43" s="290"/>
      <c r="O43" s="290"/>
      <c r="P43" s="290"/>
      <c r="Q43" s="290"/>
      <c r="R43" s="290"/>
      <c r="S43" s="290"/>
      <c r="T43" s="290"/>
      <c r="U43" s="290"/>
      <c r="V43" s="290"/>
      <c r="W43" s="290"/>
      <c r="X43" s="290"/>
      <c r="Y43" s="290"/>
      <c r="Z43" s="290"/>
      <c r="AA43" s="290"/>
      <c r="AB43" s="290"/>
      <c r="AC43" s="290"/>
    </row>
    <row r="44" spans="1:29" s="291" customFormat="1" ht="22.25" customHeight="1" thickBot="1" x14ac:dyDescent="0.25">
      <c r="A44" s="267"/>
      <c r="B44" s="394"/>
      <c r="C44" s="380"/>
      <c r="D44" s="380"/>
      <c r="E44" s="380"/>
      <c r="F44" s="380"/>
      <c r="G44" s="380"/>
      <c r="H44" s="42"/>
      <c r="I44" s="388"/>
      <c r="J44" s="44"/>
      <c r="K44" s="271"/>
      <c r="L44" s="290"/>
      <c r="M44" s="290"/>
      <c r="N44" s="290"/>
      <c r="O44" s="290"/>
      <c r="P44" s="290"/>
      <c r="Q44" s="290"/>
      <c r="R44" s="290"/>
      <c r="S44" s="290"/>
      <c r="T44" s="290"/>
      <c r="U44" s="290"/>
      <c r="V44" s="290"/>
      <c r="W44" s="290"/>
      <c r="X44" s="290"/>
      <c r="Y44" s="290"/>
      <c r="Z44" s="290"/>
      <c r="AA44" s="290"/>
      <c r="AB44" s="290"/>
      <c r="AC44" s="290"/>
    </row>
    <row r="45" spans="1:29" s="291" customFormat="1" ht="22.25" customHeight="1" x14ac:dyDescent="0.2">
      <c r="A45" s="267"/>
      <c r="B45" s="35" t="s">
        <v>106</v>
      </c>
      <c r="C45" s="292">
        <v>4</v>
      </c>
      <c r="D45" s="292">
        <v>3</v>
      </c>
      <c r="E45" s="292">
        <v>2</v>
      </c>
      <c r="F45" s="292">
        <v>3</v>
      </c>
      <c r="G45" s="314">
        <v>3</v>
      </c>
      <c r="H45" s="42"/>
      <c r="I45" s="376">
        <v>43718</v>
      </c>
      <c r="J45" s="44"/>
      <c r="K45" s="271"/>
      <c r="L45" s="290"/>
      <c r="M45" s="290"/>
      <c r="N45" s="290"/>
      <c r="O45" s="290"/>
      <c r="P45" s="290"/>
      <c r="Q45" s="290"/>
      <c r="R45" s="290"/>
      <c r="S45" s="290"/>
      <c r="T45" s="290"/>
      <c r="U45" s="290"/>
      <c r="V45" s="290"/>
      <c r="W45" s="290"/>
      <c r="X45" s="290"/>
      <c r="Y45" s="290"/>
      <c r="Z45" s="290"/>
      <c r="AA45" s="290"/>
      <c r="AB45" s="290"/>
      <c r="AC45" s="290"/>
    </row>
    <row r="46" spans="1:29" s="291" customFormat="1" ht="22.25" customHeight="1" thickBot="1" x14ac:dyDescent="0.25">
      <c r="A46" s="267"/>
      <c r="B46" s="36" t="s">
        <v>107</v>
      </c>
      <c r="C46" s="293"/>
      <c r="D46" s="293"/>
      <c r="E46" s="293"/>
      <c r="F46" s="293"/>
      <c r="G46" s="315"/>
      <c r="H46" s="42"/>
      <c r="I46" s="377"/>
      <c r="J46" s="44"/>
      <c r="K46" s="271"/>
      <c r="L46" s="290"/>
      <c r="M46" s="290"/>
      <c r="N46" s="290"/>
      <c r="O46" s="290"/>
      <c r="P46" s="290"/>
      <c r="Q46" s="290"/>
      <c r="R46" s="290"/>
      <c r="S46" s="290"/>
      <c r="T46" s="290"/>
      <c r="U46" s="290"/>
      <c r="V46" s="290"/>
      <c r="W46" s="290"/>
      <c r="X46" s="290"/>
      <c r="Y46" s="290"/>
      <c r="Z46" s="290"/>
      <c r="AA46" s="290"/>
      <c r="AB46" s="290"/>
      <c r="AC46" s="290"/>
    </row>
    <row r="47" spans="1:29" s="291" customFormat="1" ht="22.25" customHeight="1" thickBot="1" x14ac:dyDescent="0.25">
      <c r="A47" s="267"/>
      <c r="B47" s="31" t="s">
        <v>108</v>
      </c>
      <c r="C47" s="294"/>
      <c r="D47" s="294"/>
      <c r="E47" s="294"/>
      <c r="F47" s="294"/>
      <c r="G47" s="316"/>
      <c r="H47" s="42"/>
      <c r="I47" s="44"/>
      <c r="J47" s="44"/>
      <c r="K47" s="271"/>
      <c r="L47" s="290"/>
      <c r="M47" s="290"/>
      <c r="N47" s="290"/>
      <c r="O47" s="290"/>
      <c r="P47" s="290"/>
      <c r="Q47" s="290"/>
      <c r="R47" s="290"/>
      <c r="S47" s="290"/>
      <c r="T47" s="290"/>
      <c r="U47" s="290"/>
      <c r="V47" s="290"/>
      <c r="W47" s="290"/>
      <c r="X47" s="290"/>
      <c r="Y47" s="290"/>
      <c r="Z47" s="290"/>
      <c r="AA47" s="290"/>
      <c r="AB47" s="290"/>
      <c r="AC47" s="290"/>
    </row>
    <row r="48" spans="1:29" ht="6" customHeight="1" x14ac:dyDescent="0.2">
      <c r="A48" s="267"/>
      <c r="B48" s="44"/>
      <c r="C48" s="44"/>
      <c r="D48" s="44"/>
      <c r="E48" s="44"/>
      <c r="F48" s="44"/>
      <c r="G48" s="44" t="s">
        <v>105</v>
      </c>
      <c r="H48" s="42"/>
      <c r="I48" s="44"/>
      <c r="J48" s="44"/>
      <c r="K48" s="271"/>
      <c r="L48" s="164"/>
      <c r="M48" s="164"/>
      <c r="N48" s="164"/>
      <c r="O48" s="164"/>
      <c r="P48" s="164"/>
      <c r="Q48" s="164"/>
      <c r="R48" s="164"/>
      <c r="S48" s="164"/>
      <c r="T48" s="164"/>
      <c r="U48" s="164"/>
      <c r="V48" s="164"/>
      <c r="W48" s="164"/>
      <c r="X48" s="164"/>
      <c r="Y48" s="164"/>
      <c r="Z48" s="164"/>
      <c r="AA48" s="164"/>
      <c r="AB48" s="164"/>
      <c r="AC48" s="164"/>
    </row>
    <row r="49" spans="1:29" ht="22.25" customHeight="1" thickBot="1" x14ac:dyDescent="0.25">
      <c r="A49" s="267"/>
      <c r="B49" s="44"/>
      <c r="C49" s="44"/>
      <c r="D49" s="44"/>
      <c r="E49" s="44"/>
      <c r="F49" s="44"/>
      <c r="G49" s="44"/>
      <c r="H49" s="42"/>
      <c r="I49" s="44"/>
      <c r="J49" s="44"/>
      <c r="K49" s="271"/>
      <c r="L49" s="164"/>
      <c r="M49" s="164"/>
      <c r="N49" s="164"/>
      <c r="O49" s="164"/>
      <c r="P49" s="164"/>
      <c r="Q49" s="164"/>
      <c r="R49" s="164"/>
      <c r="S49" s="164"/>
      <c r="T49" s="164"/>
      <c r="U49" s="164"/>
      <c r="V49" s="164"/>
      <c r="W49" s="164"/>
      <c r="X49" s="164"/>
      <c r="Y49" s="164"/>
      <c r="Z49" s="164"/>
      <c r="AA49" s="164"/>
      <c r="AB49" s="164"/>
      <c r="AC49" s="164"/>
    </row>
    <row r="50" spans="1:29" ht="22.25" customHeight="1" thickBot="1" x14ac:dyDescent="0.25">
      <c r="A50" s="267"/>
      <c r="B50" s="378" t="s">
        <v>144</v>
      </c>
      <c r="C50" s="381" t="s">
        <v>145</v>
      </c>
      <c r="D50" s="382"/>
      <c r="E50" s="381" t="s">
        <v>146</v>
      </c>
      <c r="F50" s="382"/>
      <c r="G50" s="381" t="s">
        <v>147</v>
      </c>
      <c r="H50" s="382"/>
      <c r="I50" s="381" t="s">
        <v>148</v>
      </c>
      <c r="J50" s="382"/>
      <c r="K50" s="271"/>
      <c r="L50" s="164"/>
      <c r="M50" s="164"/>
      <c r="N50" s="164"/>
      <c r="O50" s="164"/>
      <c r="P50" s="164"/>
      <c r="Q50" s="164"/>
      <c r="R50" s="164"/>
      <c r="S50" s="164"/>
      <c r="T50" s="164"/>
      <c r="U50" s="164"/>
      <c r="V50" s="164"/>
      <c r="W50" s="164"/>
      <c r="X50" s="164"/>
      <c r="Y50" s="164"/>
      <c r="Z50" s="164"/>
      <c r="AA50" s="164"/>
      <c r="AB50" s="164"/>
      <c r="AC50" s="164"/>
    </row>
    <row r="51" spans="1:29" ht="22.25" customHeight="1" x14ac:dyDescent="0.2">
      <c r="A51" s="267"/>
      <c r="B51" s="379"/>
      <c r="C51" s="383"/>
      <c r="D51" s="384"/>
      <c r="E51" s="383"/>
      <c r="F51" s="384"/>
      <c r="G51" s="383"/>
      <c r="H51" s="384"/>
      <c r="I51" s="383"/>
      <c r="J51" s="384"/>
      <c r="K51" s="271"/>
      <c r="L51" s="164"/>
      <c r="M51" s="164"/>
      <c r="N51" s="164"/>
      <c r="O51" s="164"/>
      <c r="P51" s="164"/>
      <c r="Q51" s="164"/>
      <c r="R51" s="164"/>
      <c r="S51" s="164"/>
      <c r="T51" s="164"/>
      <c r="U51" s="164"/>
      <c r="V51" s="164"/>
      <c r="W51" s="164"/>
      <c r="X51" s="164"/>
      <c r="Y51" s="164"/>
      <c r="Z51" s="164"/>
      <c r="AA51" s="164"/>
      <c r="AB51" s="164"/>
      <c r="AC51" s="164"/>
    </row>
    <row r="52" spans="1:29" ht="22.25" customHeight="1" thickBot="1" x14ac:dyDescent="0.25">
      <c r="A52" s="267"/>
      <c r="B52" s="380"/>
      <c r="C52" s="385"/>
      <c r="D52" s="386"/>
      <c r="E52" s="385"/>
      <c r="F52" s="386"/>
      <c r="G52" s="385"/>
      <c r="H52" s="386"/>
      <c r="I52" s="385"/>
      <c r="J52" s="386"/>
      <c r="K52" s="271"/>
      <c r="L52" s="164"/>
      <c r="M52" s="164"/>
      <c r="N52" s="164"/>
      <c r="O52" s="164"/>
      <c r="P52" s="164"/>
      <c r="Q52" s="164"/>
      <c r="R52" s="164"/>
      <c r="S52" s="164"/>
      <c r="T52" s="164"/>
      <c r="U52" s="164"/>
      <c r="V52" s="164"/>
      <c r="W52" s="164"/>
      <c r="X52" s="164"/>
      <c r="Y52" s="164"/>
      <c r="Z52" s="164"/>
      <c r="AA52" s="164"/>
      <c r="AB52" s="164"/>
      <c r="AC52" s="164"/>
    </row>
    <row r="53" spans="1:29" ht="22.25" customHeight="1" thickBot="1" x14ac:dyDescent="0.25">
      <c r="A53" s="295"/>
      <c r="B53" s="45"/>
      <c r="C53" s="45"/>
      <c r="D53" s="45"/>
      <c r="E53" s="45"/>
      <c r="F53" s="45"/>
      <c r="G53" s="45"/>
      <c r="H53" s="302"/>
      <c r="I53" s="45"/>
      <c r="J53" s="45"/>
      <c r="K53" s="296"/>
      <c r="L53" s="164"/>
      <c r="M53" s="164"/>
      <c r="N53" s="164"/>
      <c r="O53" s="164"/>
      <c r="P53" s="164"/>
      <c r="Q53" s="164"/>
      <c r="R53" s="164"/>
      <c r="S53" s="164"/>
      <c r="T53" s="164"/>
      <c r="U53" s="164"/>
      <c r="V53" s="164"/>
      <c r="W53" s="164"/>
      <c r="X53" s="164"/>
      <c r="Y53" s="164"/>
      <c r="Z53" s="164"/>
      <c r="AA53" s="164"/>
      <c r="AB53" s="164"/>
      <c r="AC53" s="164"/>
    </row>
    <row r="54" spans="1:29" x14ac:dyDescent="0.2">
      <c r="A54" s="164"/>
      <c r="B54" s="164"/>
      <c r="C54" s="164"/>
      <c r="D54" s="164"/>
      <c r="E54" s="164"/>
      <c r="F54" s="164"/>
      <c r="G54" s="164"/>
      <c r="H54" s="303"/>
      <c r="I54" s="164"/>
      <c r="J54" s="164"/>
      <c r="K54" s="164"/>
      <c r="L54" s="164"/>
      <c r="M54" s="164"/>
      <c r="N54" s="164"/>
      <c r="O54" s="164"/>
      <c r="P54" s="164"/>
      <c r="Q54" s="164"/>
      <c r="R54" s="164"/>
      <c r="S54" s="164"/>
      <c r="T54" s="164"/>
      <c r="U54" s="164"/>
      <c r="V54" s="164"/>
      <c r="W54" s="164"/>
      <c r="X54" s="164"/>
      <c r="Y54" s="164"/>
      <c r="Z54" s="164"/>
      <c r="AA54" s="164"/>
      <c r="AB54" s="164"/>
      <c r="AC54" s="164"/>
    </row>
    <row r="55" spans="1:29" x14ac:dyDescent="0.2">
      <c r="A55" s="164"/>
      <c r="B55" s="164"/>
      <c r="C55" s="164"/>
      <c r="D55" s="164"/>
      <c r="E55" s="164"/>
      <c r="F55" s="164"/>
      <c r="G55" s="164"/>
      <c r="H55" s="303"/>
      <c r="I55" s="164"/>
      <c r="J55" s="164"/>
      <c r="K55" s="164"/>
      <c r="L55" s="164"/>
      <c r="M55" s="164"/>
      <c r="N55" s="164"/>
      <c r="O55" s="164"/>
      <c r="P55" s="164"/>
      <c r="Q55" s="164"/>
      <c r="R55" s="164"/>
      <c r="S55" s="164"/>
      <c r="T55" s="164"/>
      <c r="U55" s="164"/>
      <c r="V55" s="164"/>
      <c r="W55" s="164"/>
      <c r="X55" s="164"/>
      <c r="Y55" s="164"/>
      <c r="Z55" s="164"/>
      <c r="AA55" s="164"/>
      <c r="AB55" s="164"/>
      <c r="AC55" s="164"/>
    </row>
    <row r="56" spans="1:29" x14ac:dyDescent="0.2">
      <c r="A56" s="164"/>
      <c r="B56" s="164"/>
      <c r="C56" s="164"/>
      <c r="D56" s="164"/>
      <c r="E56" s="164"/>
      <c r="F56" s="164"/>
      <c r="G56" s="164"/>
      <c r="H56" s="303"/>
      <c r="I56" s="164"/>
      <c r="J56" s="164"/>
      <c r="K56" s="164"/>
      <c r="L56" s="164"/>
      <c r="M56" s="164"/>
      <c r="N56" s="164"/>
      <c r="O56" s="164"/>
      <c r="P56" s="164"/>
      <c r="Q56" s="164"/>
      <c r="R56" s="164"/>
      <c r="S56" s="164"/>
      <c r="T56" s="164"/>
      <c r="U56" s="164"/>
      <c r="V56" s="164"/>
      <c r="W56" s="164"/>
      <c r="X56" s="164"/>
      <c r="Y56" s="164"/>
      <c r="Z56" s="164"/>
      <c r="AA56" s="164"/>
      <c r="AB56" s="164"/>
      <c r="AC56" s="164"/>
    </row>
    <row r="57" spans="1:29" x14ac:dyDescent="0.2">
      <c r="A57" s="164"/>
      <c r="B57" s="164"/>
      <c r="C57" s="164"/>
      <c r="D57" s="164"/>
      <c r="E57" s="164"/>
      <c r="F57" s="164"/>
      <c r="G57" s="164"/>
      <c r="H57" s="303"/>
      <c r="I57" s="164"/>
      <c r="J57" s="164"/>
      <c r="K57" s="164"/>
      <c r="L57" s="164"/>
      <c r="M57" s="164"/>
      <c r="N57" s="164"/>
      <c r="O57" s="164"/>
      <c r="P57" s="164"/>
      <c r="Q57" s="164"/>
      <c r="R57" s="164"/>
      <c r="S57" s="164"/>
      <c r="T57" s="164"/>
      <c r="U57" s="164"/>
      <c r="V57" s="164"/>
      <c r="W57" s="164"/>
      <c r="X57" s="164"/>
      <c r="Y57" s="164"/>
      <c r="Z57" s="164"/>
      <c r="AA57" s="164"/>
      <c r="AB57" s="164"/>
      <c r="AC57" s="164"/>
    </row>
    <row r="58" spans="1:29" x14ac:dyDescent="0.2">
      <c r="A58" s="164"/>
      <c r="B58" s="164"/>
      <c r="C58" s="164"/>
      <c r="D58" s="164"/>
      <c r="E58" s="164"/>
      <c r="F58" s="164"/>
      <c r="G58" s="164"/>
      <c r="H58" s="303"/>
      <c r="I58" s="164"/>
      <c r="J58" s="164"/>
      <c r="K58" s="164"/>
      <c r="L58" s="164"/>
      <c r="M58" s="164"/>
      <c r="N58" s="164"/>
      <c r="O58" s="164"/>
      <c r="P58" s="164"/>
      <c r="Q58" s="164"/>
      <c r="R58" s="164"/>
      <c r="S58" s="164"/>
      <c r="T58" s="164"/>
      <c r="U58" s="164"/>
      <c r="V58" s="164"/>
      <c r="W58" s="164"/>
      <c r="X58" s="164"/>
      <c r="Y58" s="164"/>
      <c r="Z58" s="164"/>
      <c r="AA58" s="164"/>
      <c r="AB58" s="164"/>
      <c r="AC58" s="164"/>
    </row>
    <row r="59" spans="1:29" x14ac:dyDescent="0.2">
      <c r="A59" s="164"/>
      <c r="B59" s="164"/>
      <c r="C59" s="164"/>
      <c r="D59" s="164"/>
      <c r="E59" s="164"/>
      <c r="F59" s="164"/>
      <c r="G59" s="164"/>
      <c r="H59" s="303"/>
      <c r="I59" s="164"/>
      <c r="J59" s="164"/>
      <c r="K59" s="164"/>
      <c r="L59" s="164"/>
      <c r="M59" s="164"/>
      <c r="N59" s="164"/>
      <c r="O59" s="164"/>
      <c r="P59" s="164"/>
      <c r="Q59" s="164"/>
      <c r="R59" s="164"/>
      <c r="S59" s="164"/>
      <c r="T59" s="164"/>
      <c r="U59" s="164"/>
      <c r="V59" s="164"/>
      <c r="W59" s="164"/>
      <c r="X59" s="164"/>
      <c r="Y59" s="164"/>
      <c r="Z59" s="164"/>
      <c r="AA59" s="164"/>
      <c r="AB59" s="164"/>
      <c r="AC59" s="164"/>
    </row>
    <row r="60" spans="1:29" x14ac:dyDescent="0.2">
      <c r="A60" s="164"/>
      <c r="B60" s="164"/>
      <c r="C60" s="164"/>
      <c r="D60" s="164"/>
      <c r="E60" s="164"/>
      <c r="F60" s="164"/>
      <c r="G60" s="164"/>
      <c r="H60" s="303"/>
      <c r="I60" s="164"/>
      <c r="J60" s="164"/>
      <c r="K60" s="164"/>
      <c r="L60" s="164"/>
      <c r="M60" s="164"/>
      <c r="N60" s="164"/>
      <c r="O60" s="164"/>
      <c r="P60" s="164"/>
      <c r="Q60" s="164"/>
      <c r="R60" s="164"/>
      <c r="S60" s="164"/>
      <c r="T60" s="164"/>
      <c r="U60" s="164"/>
      <c r="V60" s="164"/>
      <c r="W60" s="164"/>
      <c r="X60" s="164"/>
      <c r="Y60" s="164"/>
      <c r="Z60" s="164"/>
      <c r="AA60" s="164"/>
      <c r="AB60" s="164"/>
      <c r="AC60" s="164"/>
    </row>
    <row r="61" spans="1:29" x14ac:dyDescent="0.2">
      <c r="A61" s="164"/>
      <c r="B61" s="164"/>
      <c r="C61" s="164"/>
      <c r="D61" s="164"/>
      <c r="E61" s="164"/>
      <c r="F61" s="164"/>
      <c r="G61" s="164"/>
      <c r="H61" s="303"/>
      <c r="I61" s="164"/>
      <c r="J61" s="164"/>
      <c r="K61" s="164"/>
      <c r="L61" s="164"/>
      <c r="M61" s="164"/>
      <c r="N61" s="164"/>
      <c r="O61" s="164"/>
      <c r="P61" s="164"/>
      <c r="Q61" s="164"/>
      <c r="R61" s="164"/>
      <c r="S61" s="164"/>
      <c r="T61" s="164"/>
      <c r="U61" s="164"/>
      <c r="V61" s="164"/>
      <c r="W61" s="164"/>
      <c r="X61" s="164"/>
      <c r="Y61" s="164"/>
      <c r="Z61" s="164"/>
      <c r="AA61" s="164"/>
      <c r="AB61" s="164"/>
      <c r="AC61" s="164"/>
    </row>
    <row r="62" spans="1:29" x14ac:dyDescent="0.2">
      <c r="A62" s="164"/>
      <c r="B62" s="164"/>
      <c r="C62" s="164"/>
      <c r="D62" s="164"/>
      <c r="E62" s="164"/>
      <c r="F62" s="164"/>
      <c r="G62" s="164"/>
      <c r="H62" s="303"/>
      <c r="I62" s="164"/>
      <c r="J62" s="164"/>
      <c r="K62" s="164"/>
      <c r="L62" s="164"/>
      <c r="M62" s="164"/>
      <c r="N62" s="164"/>
      <c r="O62" s="164"/>
      <c r="P62" s="164"/>
      <c r="Q62" s="164"/>
      <c r="R62" s="164"/>
      <c r="S62" s="164"/>
      <c r="T62" s="164"/>
      <c r="U62" s="164"/>
      <c r="V62" s="164"/>
      <c r="W62" s="164"/>
      <c r="X62" s="164"/>
      <c r="Y62" s="164"/>
      <c r="Z62" s="164"/>
      <c r="AA62" s="164"/>
      <c r="AB62" s="164"/>
      <c r="AC62" s="164"/>
    </row>
    <row r="63" spans="1:29" x14ac:dyDescent="0.2">
      <c r="A63" s="164"/>
      <c r="B63" s="164"/>
      <c r="C63" s="164"/>
      <c r="D63" s="164"/>
      <c r="E63" s="164"/>
      <c r="F63" s="164"/>
      <c r="G63" s="164"/>
      <c r="H63" s="303"/>
      <c r="I63" s="164"/>
      <c r="J63" s="164"/>
      <c r="K63" s="164"/>
      <c r="L63" s="164"/>
      <c r="M63" s="164"/>
      <c r="N63" s="164"/>
      <c r="O63" s="164"/>
      <c r="P63" s="164"/>
      <c r="Q63" s="164"/>
      <c r="R63" s="164"/>
      <c r="S63" s="164"/>
      <c r="T63" s="164"/>
      <c r="U63" s="164"/>
      <c r="V63" s="164"/>
      <c r="W63" s="164"/>
      <c r="X63" s="164"/>
      <c r="Y63" s="164"/>
      <c r="Z63" s="164"/>
      <c r="AA63" s="164"/>
      <c r="AB63" s="164"/>
      <c r="AC63" s="164"/>
    </row>
    <row r="64" spans="1:29" x14ac:dyDescent="0.2">
      <c r="A64" s="164"/>
      <c r="B64" s="164"/>
      <c r="C64" s="164"/>
      <c r="D64" s="164"/>
      <c r="E64" s="164"/>
      <c r="F64" s="164"/>
      <c r="G64" s="164"/>
      <c r="H64" s="303"/>
      <c r="I64" s="164"/>
      <c r="J64" s="164"/>
      <c r="K64" s="164"/>
      <c r="L64" s="164"/>
      <c r="M64" s="164"/>
      <c r="N64" s="164"/>
      <c r="O64" s="164"/>
      <c r="P64" s="164"/>
      <c r="Q64" s="164"/>
      <c r="R64" s="164"/>
      <c r="S64" s="164"/>
      <c r="T64" s="164"/>
      <c r="U64" s="164"/>
      <c r="V64" s="164"/>
      <c r="W64" s="164"/>
      <c r="X64" s="164"/>
      <c r="Y64" s="164"/>
      <c r="Z64" s="164"/>
      <c r="AA64" s="164"/>
      <c r="AB64" s="164"/>
      <c r="AC64" s="164"/>
    </row>
    <row r="65" spans="1:29" x14ac:dyDescent="0.2">
      <c r="A65" s="164"/>
      <c r="B65" s="164"/>
      <c r="C65" s="164"/>
      <c r="D65" s="164"/>
      <c r="E65" s="164"/>
      <c r="F65" s="164"/>
      <c r="G65" s="164"/>
      <c r="H65" s="303"/>
      <c r="I65" s="164"/>
      <c r="J65" s="164"/>
      <c r="K65" s="164"/>
      <c r="L65" s="164"/>
      <c r="M65" s="164"/>
      <c r="N65" s="164"/>
      <c r="O65" s="164"/>
      <c r="P65" s="164"/>
      <c r="Q65" s="164"/>
      <c r="R65" s="164"/>
      <c r="S65" s="164"/>
      <c r="T65" s="164"/>
      <c r="U65" s="164"/>
      <c r="V65" s="164"/>
      <c r="W65" s="164"/>
      <c r="X65" s="164"/>
      <c r="Y65" s="164"/>
      <c r="Z65" s="164"/>
      <c r="AA65" s="164"/>
      <c r="AB65" s="164"/>
      <c r="AC65" s="164"/>
    </row>
    <row r="66" spans="1:29" x14ac:dyDescent="0.2">
      <c r="A66" s="164"/>
      <c r="B66" s="164"/>
      <c r="C66" s="164"/>
      <c r="D66" s="164"/>
      <c r="E66" s="164"/>
      <c r="F66" s="164"/>
      <c r="G66" s="164"/>
      <c r="H66" s="303"/>
      <c r="I66" s="164"/>
      <c r="J66" s="164"/>
      <c r="K66" s="164"/>
      <c r="L66" s="164"/>
      <c r="M66" s="164"/>
      <c r="N66" s="164"/>
      <c r="O66" s="164"/>
      <c r="P66" s="164"/>
      <c r="Q66" s="164"/>
      <c r="R66" s="164"/>
      <c r="S66" s="164"/>
      <c r="T66" s="164"/>
      <c r="U66" s="164"/>
      <c r="V66" s="164"/>
      <c r="W66" s="164"/>
      <c r="X66" s="164"/>
      <c r="Y66" s="164"/>
      <c r="Z66" s="164"/>
      <c r="AA66" s="164"/>
      <c r="AB66" s="164"/>
      <c r="AC66" s="164"/>
    </row>
    <row r="67" spans="1:29" x14ac:dyDescent="0.2">
      <c r="A67" s="164"/>
      <c r="B67" s="164"/>
      <c r="C67" s="164"/>
      <c r="D67" s="164"/>
      <c r="E67" s="164"/>
      <c r="F67" s="164"/>
      <c r="G67" s="164"/>
      <c r="H67" s="303"/>
      <c r="I67" s="164"/>
      <c r="J67" s="164"/>
      <c r="K67" s="164"/>
      <c r="L67" s="164"/>
      <c r="M67" s="164"/>
      <c r="N67" s="164"/>
      <c r="O67" s="164"/>
      <c r="P67" s="164"/>
      <c r="Q67" s="164"/>
      <c r="R67" s="164"/>
      <c r="S67" s="164"/>
      <c r="T67" s="164"/>
      <c r="U67" s="164"/>
      <c r="V67" s="164"/>
      <c r="W67" s="164"/>
      <c r="X67" s="164"/>
      <c r="Y67" s="164"/>
      <c r="Z67" s="164"/>
      <c r="AA67" s="164"/>
      <c r="AB67" s="164"/>
      <c r="AC67" s="164"/>
    </row>
    <row r="68" spans="1:29" x14ac:dyDescent="0.2">
      <c r="A68" s="164"/>
      <c r="B68" s="164"/>
      <c r="C68" s="164"/>
      <c r="D68" s="164"/>
      <c r="E68" s="164"/>
      <c r="F68" s="164"/>
      <c r="G68" s="164"/>
      <c r="H68" s="303"/>
      <c r="I68" s="164"/>
      <c r="J68" s="164"/>
      <c r="K68" s="164"/>
      <c r="L68" s="164"/>
      <c r="M68" s="164"/>
      <c r="N68" s="164"/>
      <c r="O68" s="164"/>
      <c r="P68" s="164"/>
      <c r="Q68" s="164"/>
      <c r="R68" s="164"/>
      <c r="S68" s="164"/>
      <c r="T68" s="164"/>
      <c r="U68" s="164"/>
      <c r="V68" s="164"/>
      <c r="W68" s="164"/>
      <c r="X68" s="164"/>
      <c r="Y68" s="164"/>
      <c r="Z68" s="164"/>
      <c r="AA68" s="164"/>
      <c r="AB68" s="164"/>
      <c r="AC68" s="164"/>
    </row>
    <row r="69" spans="1:29" x14ac:dyDescent="0.2">
      <c r="A69" s="164"/>
      <c r="B69" s="164"/>
      <c r="C69" s="164"/>
      <c r="D69" s="164"/>
      <c r="E69" s="164"/>
      <c r="F69" s="164"/>
      <c r="G69" s="164"/>
      <c r="H69" s="303"/>
      <c r="I69" s="164"/>
      <c r="J69" s="164"/>
      <c r="K69" s="164"/>
      <c r="L69" s="164"/>
      <c r="M69" s="164"/>
      <c r="N69" s="164"/>
      <c r="O69" s="164"/>
      <c r="P69" s="164"/>
      <c r="Q69" s="164"/>
      <c r="R69" s="164"/>
      <c r="S69" s="164"/>
      <c r="T69" s="164"/>
      <c r="U69" s="164"/>
      <c r="V69" s="164"/>
      <c r="W69" s="164"/>
      <c r="X69" s="164"/>
      <c r="Y69" s="164"/>
      <c r="Z69" s="164"/>
      <c r="AA69" s="164"/>
      <c r="AB69" s="164"/>
      <c r="AC69" s="164"/>
    </row>
    <row r="70" spans="1:29" x14ac:dyDescent="0.2">
      <c r="A70" s="164"/>
      <c r="B70" s="164"/>
      <c r="C70" s="164"/>
      <c r="D70" s="164"/>
      <c r="E70" s="164"/>
      <c r="F70" s="164"/>
      <c r="G70" s="164"/>
      <c r="H70" s="303"/>
      <c r="I70" s="164"/>
      <c r="J70" s="164"/>
      <c r="K70" s="164"/>
      <c r="L70" s="164"/>
      <c r="M70" s="164"/>
      <c r="N70" s="164"/>
      <c r="O70" s="164"/>
      <c r="P70" s="164"/>
      <c r="Q70" s="164"/>
      <c r="R70" s="164"/>
      <c r="S70" s="164"/>
      <c r="T70" s="164"/>
      <c r="U70" s="164"/>
      <c r="V70" s="164"/>
      <c r="W70" s="164"/>
      <c r="X70" s="164"/>
      <c r="Y70" s="164"/>
      <c r="Z70" s="164"/>
      <c r="AA70" s="164"/>
      <c r="AB70" s="164"/>
      <c r="AC70" s="164"/>
    </row>
    <row r="71" spans="1:29" x14ac:dyDescent="0.2">
      <c r="A71" s="164"/>
      <c r="B71" s="164"/>
      <c r="C71" s="164"/>
      <c r="D71" s="164"/>
      <c r="E71" s="164"/>
      <c r="F71" s="164"/>
      <c r="G71" s="164"/>
      <c r="H71" s="303"/>
      <c r="I71" s="164"/>
      <c r="J71" s="164"/>
      <c r="K71" s="164"/>
      <c r="L71" s="164"/>
      <c r="M71" s="164"/>
      <c r="N71" s="164"/>
      <c r="O71" s="164"/>
      <c r="P71" s="164"/>
      <c r="Q71" s="164"/>
      <c r="R71" s="164"/>
      <c r="S71" s="164"/>
      <c r="T71" s="164"/>
      <c r="U71" s="164"/>
      <c r="V71" s="164"/>
      <c r="W71" s="164"/>
      <c r="X71" s="164"/>
      <c r="Y71" s="164"/>
      <c r="Z71" s="164"/>
      <c r="AA71" s="164"/>
      <c r="AB71" s="164"/>
      <c r="AC71" s="164"/>
    </row>
    <row r="72" spans="1:29" x14ac:dyDescent="0.2">
      <c r="A72" s="164"/>
      <c r="B72" s="164"/>
      <c r="C72" s="164"/>
      <c r="D72" s="164"/>
      <c r="E72" s="164"/>
      <c r="F72" s="164"/>
      <c r="G72" s="164"/>
      <c r="H72" s="303"/>
      <c r="I72" s="164"/>
      <c r="J72" s="164"/>
      <c r="K72" s="164"/>
      <c r="L72" s="164"/>
      <c r="M72" s="164"/>
      <c r="N72" s="164"/>
      <c r="O72" s="164"/>
      <c r="P72" s="164"/>
      <c r="Q72" s="164"/>
      <c r="R72" s="164"/>
      <c r="S72" s="164"/>
      <c r="T72" s="164"/>
      <c r="U72" s="164"/>
      <c r="V72" s="164"/>
      <c r="W72" s="164"/>
      <c r="X72" s="164"/>
      <c r="Y72" s="164"/>
      <c r="Z72" s="164"/>
      <c r="AA72" s="164"/>
      <c r="AB72" s="164"/>
      <c r="AC72" s="164"/>
    </row>
    <row r="73" spans="1:29" x14ac:dyDescent="0.2">
      <c r="A73" s="164"/>
      <c r="B73" s="164"/>
      <c r="C73" s="164"/>
      <c r="D73" s="164"/>
      <c r="E73" s="164"/>
      <c r="F73" s="164"/>
      <c r="G73" s="164"/>
      <c r="H73" s="303"/>
      <c r="I73" s="164"/>
      <c r="J73" s="164"/>
      <c r="K73" s="164"/>
      <c r="L73" s="164"/>
      <c r="M73" s="164"/>
      <c r="N73" s="164"/>
      <c r="O73" s="164"/>
      <c r="P73" s="164"/>
      <c r="Q73" s="164"/>
      <c r="R73" s="164"/>
      <c r="S73" s="164"/>
      <c r="T73" s="164"/>
      <c r="U73" s="164"/>
      <c r="V73" s="164"/>
      <c r="W73" s="164"/>
      <c r="X73" s="164"/>
      <c r="Y73" s="164"/>
      <c r="Z73" s="164"/>
      <c r="AA73" s="164"/>
      <c r="AB73" s="164"/>
      <c r="AC73" s="164"/>
    </row>
    <row r="74" spans="1:29" x14ac:dyDescent="0.2">
      <c r="A74" s="164"/>
      <c r="B74" s="164"/>
      <c r="C74" s="164"/>
      <c r="D74" s="164"/>
      <c r="E74" s="164"/>
      <c r="F74" s="164"/>
      <c r="G74" s="164"/>
      <c r="H74" s="303"/>
      <c r="I74" s="164"/>
      <c r="J74" s="164"/>
      <c r="K74" s="164"/>
      <c r="L74" s="164"/>
      <c r="M74" s="164"/>
      <c r="N74" s="164"/>
      <c r="O74" s="164"/>
      <c r="P74" s="164"/>
      <c r="Q74" s="164"/>
      <c r="R74" s="164"/>
      <c r="S74" s="164"/>
      <c r="T74" s="164"/>
      <c r="U74" s="164"/>
      <c r="V74" s="164"/>
      <c r="W74" s="164"/>
      <c r="X74" s="164"/>
      <c r="Y74" s="164"/>
      <c r="Z74" s="164"/>
      <c r="AA74" s="164"/>
      <c r="AB74" s="164"/>
      <c r="AC74" s="164"/>
    </row>
    <row r="75" spans="1:29" x14ac:dyDescent="0.2">
      <c r="A75" s="164"/>
      <c r="B75" s="164"/>
      <c r="C75" s="164"/>
      <c r="D75" s="164"/>
      <c r="E75" s="164"/>
      <c r="F75" s="164"/>
      <c r="G75" s="164"/>
      <c r="H75" s="303"/>
      <c r="I75" s="164"/>
      <c r="J75" s="164"/>
      <c r="K75" s="164"/>
      <c r="L75" s="164"/>
      <c r="M75" s="164"/>
      <c r="N75" s="164"/>
      <c r="O75" s="164"/>
      <c r="P75" s="164"/>
      <c r="Q75" s="164"/>
      <c r="R75" s="164"/>
      <c r="S75" s="164"/>
      <c r="T75" s="164"/>
      <c r="U75" s="164"/>
      <c r="V75" s="164"/>
      <c r="W75" s="164"/>
      <c r="X75" s="164"/>
      <c r="Y75" s="164"/>
      <c r="Z75" s="164"/>
      <c r="AA75" s="164"/>
      <c r="AB75" s="164"/>
      <c r="AC75" s="164"/>
    </row>
    <row r="76" spans="1:29" x14ac:dyDescent="0.2">
      <c r="A76" s="164"/>
      <c r="B76" s="164"/>
      <c r="C76" s="164"/>
      <c r="D76" s="164"/>
      <c r="E76" s="164"/>
      <c r="F76" s="164"/>
      <c r="G76" s="164"/>
      <c r="H76" s="303"/>
      <c r="I76" s="164"/>
      <c r="J76" s="164"/>
      <c r="K76" s="164"/>
      <c r="L76" s="164"/>
      <c r="M76" s="164"/>
      <c r="N76" s="164"/>
      <c r="O76" s="164"/>
      <c r="P76" s="164"/>
      <c r="Q76" s="164"/>
      <c r="R76" s="164"/>
      <c r="S76" s="164"/>
      <c r="T76" s="164"/>
      <c r="U76" s="164"/>
      <c r="V76" s="164"/>
      <c r="W76" s="164"/>
      <c r="X76" s="164"/>
      <c r="Y76" s="164"/>
      <c r="Z76" s="164"/>
      <c r="AA76" s="164"/>
      <c r="AB76" s="164"/>
      <c r="AC76" s="164"/>
    </row>
    <row r="77" spans="1:29" x14ac:dyDescent="0.2">
      <c r="A77" s="164"/>
      <c r="B77" s="164"/>
      <c r="C77" s="164"/>
      <c r="D77" s="164"/>
      <c r="E77" s="164"/>
      <c r="F77" s="164"/>
      <c r="G77" s="164"/>
      <c r="H77" s="303"/>
      <c r="I77" s="164"/>
      <c r="J77" s="164"/>
      <c r="K77" s="164"/>
      <c r="L77" s="164"/>
      <c r="M77" s="164"/>
      <c r="N77" s="164"/>
      <c r="O77" s="164"/>
      <c r="P77" s="164"/>
      <c r="Q77" s="164"/>
      <c r="R77" s="164"/>
      <c r="S77" s="164"/>
      <c r="T77" s="164"/>
      <c r="U77" s="164"/>
      <c r="V77" s="164"/>
      <c r="W77" s="164"/>
      <c r="X77" s="164"/>
      <c r="Y77" s="164"/>
      <c r="Z77" s="164"/>
      <c r="AA77" s="164"/>
      <c r="AB77" s="164"/>
      <c r="AC77" s="164"/>
    </row>
    <row r="78" spans="1:29" x14ac:dyDescent="0.2">
      <c r="A78" s="164"/>
      <c r="B78" s="164"/>
      <c r="C78" s="164"/>
      <c r="D78" s="164"/>
      <c r="E78" s="164"/>
      <c r="F78" s="164"/>
      <c r="G78" s="164"/>
      <c r="H78" s="303"/>
      <c r="I78" s="164"/>
      <c r="J78" s="164"/>
      <c r="K78" s="164"/>
      <c r="L78" s="164"/>
      <c r="M78" s="164"/>
      <c r="N78" s="164"/>
      <c r="O78" s="164"/>
      <c r="P78" s="164"/>
      <c r="Q78" s="164"/>
      <c r="R78" s="164"/>
      <c r="S78" s="164"/>
      <c r="T78" s="164"/>
      <c r="U78" s="164"/>
      <c r="V78" s="164"/>
      <c r="W78" s="164"/>
      <c r="X78" s="164"/>
      <c r="Y78" s="164"/>
      <c r="Z78" s="164"/>
      <c r="AA78" s="164"/>
      <c r="AB78" s="164"/>
      <c r="AC78" s="164"/>
    </row>
    <row r="79" spans="1:29" x14ac:dyDescent="0.2">
      <c r="A79" s="164"/>
      <c r="B79" s="164"/>
      <c r="C79" s="164"/>
      <c r="D79" s="164"/>
      <c r="E79" s="164"/>
      <c r="F79" s="164"/>
      <c r="G79" s="164"/>
      <c r="H79" s="303"/>
      <c r="I79" s="164"/>
      <c r="J79" s="164"/>
      <c r="K79" s="164"/>
      <c r="L79" s="164"/>
      <c r="M79" s="164"/>
      <c r="N79" s="164"/>
      <c r="O79" s="164"/>
      <c r="P79" s="164"/>
      <c r="Q79" s="164"/>
      <c r="R79" s="164"/>
      <c r="S79" s="164"/>
      <c r="T79" s="164"/>
      <c r="U79" s="164"/>
      <c r="V79" s="164"/>
      <c r="W79" s="164"/>
      <c r="X79" s="164"/>
      <c r="Y79" s="164"/>
      <c r="Z79" s="164"/>
      <c r="AA79" s="164"/>
      <c r="AB79" s="164"/>
      <c r="AC79" s="164"/>
    </row>
    <row r="80" spans="1:29" x14ac:dyDescent="0.2">
      <c r="A80" s="164"/>
      <c r="B80" s="164"/>
      <c r="C80" s="164"/>
      <c r="D80" s="164"/>
      <c r="E80" s="164"/>
      <c r="F80" s="164"/>
      <c r="G80" s="164"/>
      <c r="H80" s="303"/>
      <c r="I80" s="164"/>
      <c r="J80" s="164"/>
      <c r="K80" s="164"/>
      <c r="L80" s="164"/>
      <c r="M80" s="164"/>
      <c r="N80" s="164"/>
      <c r="O80" s="164"/>
      <c r="P80" s="164"/>
      <c r="Q80" s="164"/>
      <c r="R80" s="164"/>
      <c r="S80" s="164"/>
      <c r="T80" s="164"/>
      <c r="U80" s="164"/>
      <c r="V80" s="164"/>
      <c r="W80" s="164"/>
      <c r="X80" s="164"/>
      <c r="Y80" s="164"/>
      <c r="Z80" s="164"/>
      <c r="AA80" s="164"/>
      <c r="AB80" s="164"/>
      <c r="AC80" s="164"/>
    </row>
    <row r="81" spans="1:29" x14ac:dyDescent="0.2">
      <c r="A81" s="164"/>
      <c r="B81" s="164"/>
      <c r="C81" s="164"/>
      <c r="D81" s="164"/>
      <c r="E81" s="164"/>
      <c r="F81" s="164"/>
      <c r="G81" s="164"/>
      <c r="H81" s="303"/>
      <c r="I81" s="164"/>
      <c r="J81" s="164"/>
      <c r="K81" s="164"/>
      <c r="L81" s="164"/>
      <c r="M81" s="164"/>
      <c r="N81" s="164"/>
      <c r="O81" s="164"/>
      <c r="P81" s="164"/>
      <c r="Q81" s="164"/>
      <c r="R81" s="164"/>
      <c r="S81" s="164"/>
      <c r="T81" s="164"/>
      <c r="U81" s="164"/>
      <c r="V81" s="164"/>
      <c r="W81" s="164"/>
      <c r="X81" s="164"/>
      <c r="Y81" s="164"/>
      <c r="Z81" s="164"/>
      <c r="AA81" s="164"/>
      <c r="AB81" s="164"/>
      <c r="AC81" s="164"/>
    </row>
    <row r="82" spans="1:29" x14ac:dyDescent="0.2">
      <c r="A82" s="164"/>
      <c r="B82" s="164"/>
      <c r="C82" s="164"/>
      <c r="D82" s="164"/>
      <c r="E82" s="164"/>
      <c r="F82" s="164"/>
      <c r="G82" s="164"/>
      <c r="H82" s="303"/>
      <c r="I82" s="164"/>
      <c r="J82" s="164"/>
      <c r="K82" s="164"/>
      <c r="L82" s="164"/>
      <c r="M82" s="164"/>
      <c r="N82" s="164"/>
      <c r="O82" s="164"/>
      <c r="P82" s="164"/>
      <c r="Q82" s="164"/>
      <c r="R82" s="164"/>
      <c r="S82" s="164"/>
      <c r="T82" s="164"/>
      <c r="U82" s="164"/>
      <c r="V82" s="164"/>
      <c r="W82" s="164"/>
      <c r="X82" s="164"/>
      <c r="Y82" s="164"/>
      <c r="Z82" s="164"/>
      <c r="AA82" s="164"/>
      <c r="AB82" s="164"/>
      <c r="AC82" s="164"/>
    </row>
    <row r="83" spans="1:29" x14ac:dyDescent="0.2">
      <c r="A83" s="164"/>
      <c r="B83" s="164"/>
      <c r="C83" s="164"/>
      <c r="D83" s="164"/>
      <c r="E83" s="164"/>
      <c r="F83" s="164"/>
      <c r="G83" s="164"/>
      <c r="H83" s="303"/>
      <c r="I83" s="164"/>
      <c r="J83" s="164"/>
      <c r="K83" s="164"/>
      <c r="L83" s="164"/>
      <c r="M83" s="164"/>
      <c r="N83" s="164"/>
      <c r="O83" s="164"/>
      <c r="P83" s="164"/>
      <c r="Q83" s="164"/>
      <c r="R83" s="164"/>
      <c r="S83" s="164"/>
      <c r="T83" s="164"/>
      <c r="U83" s="164"/>
      <c r="V83" s="164"/>
      <c r="W83" s="164"/>
      <c r="X83" s="164"/>
      <c r="Y83" s="164"/>
      <c r="Z83" s="164"/>
      <c r="AA83" s="164"/>
      <c r="AB83" s="164"/>
      <c r="AC83" s="164"/>
    </row>
    <row r="84" spans="1:29" x14ac:dyDescent="0.2">
      <c r="A84" s="164"/>
      <c r="B84" s="164"/>
      <c r="C84" s="164"/>
      <c r="D84" s="164"/>
      <c r="E84" s="164"/>
      <c r="F84" s="164"/>
      <c r="G84" s="164"/>
      <c r="H84" s="303"/>
      <c r="I84" s="164"/>
      <c r="J84" s="164"/>
      <c r="K84" s="164"/>
      <c r="L84" s="164"/>
      <c r="M84" s="164"/>
      <c r="N84" s="164"/>
      <c r="O84" s="164"/>
      <c r="P84" s="164"/>
      <c r="Q84" s="164"/>
      <c r="R84" s="164"/>
      <c r="S84" s="164"/>
      <c r="T84" s="164"/>
      <c r="U84" s="164"/>
      <c r="V84" s="164"/>
      <c r="W84" s="164"/>
      <c r="X84" s="164"/>
      <c r="Y84" s="164"/>
      <c r="Z84" s="164"/>
      <c r="AA84" s="164"/>
      <c r="AB84" s="164"/>
      <c r="AC84" s="164"/>
    </row>
    <row r="85" spans="1:29" x14ac:dyDescent="0.2">
      <c r="A85" s="164"/>
      <c r="B85" s="164"/>
      <c r="C85" s="164"/>
      <c r="D85" s="164"/>
      <c r="E85" s="164"/>
      <c r="F85" s="164"/>
      <c r="G85" s="164"/>
      <c r="H85" s="303"/>
      <c r="I85" s="164"/>
      <c r="J85" s="164"/>
      <c r="K85" s="164"/>
      <c r="L85" s="164"/>
      <c r="M85" s="164"/>
      <c r="N85" s="164"/>
      <c r="O85" s="164"/>
      <c r="P85" s="164"/>
      <c r="Q85" s="164"/>
      <c r="R85" s="164"/>
      <c r="S85" s="164"/>
      <c r="T85" s="164"/>
      <c r="U85" s="164"/>
      <c r="V85" s="164"/>
      <c r="W85" s="164"/>
      <c r="X85" s="164"/>
      <c r="Y85" s="164"/>
      <c r="Z85" s="164"/>
      <c r="AA85" s="164"/>
      <c r="AB85" s="164"/>
      <c r="AC85" s="164"/>
    </row>
    <row r="86" spans="1:29" x14ac:dyDescent="0.2">
      <c r="A86" s="164"/>
      <c r="B86" s="164"/>
      <c r="C86" s="164"/>
      <c r="D86" s="164"/>
      <c r="E86" s="164"/>
      <c r="F86" s="164"/>
      <c r="G86" s="164"/>
      <c r="H86" s="303"/>
      <c r="I86" s="164"/>
      <c r="J86" s="164"/>
      <c r="K86" s="164"/>
      <c r="L86" s="164"/>
      <c r="M86" s="164"/>
      <c r="N86" s="164"/>
      <c r="O86" s="164"/>
      <c r="P86" s="164"/>
      <c r="Q86" s="164"/>
      <c r="R86" s="164"/>
      <c r="S86" s="164"/>
      <c r="T86" s="164"/>
      <c r="U86" s="164"/>
      <c r="V86" s="164"/>
      <c r="W86" s="164"/>
      <c r="X86" s="164"/>
      <c r="Y86" s="164"/>
      <c r="Z86" s="164"/>
      <c r="AA86" s="164"/>
      <c r="AB86" s="164"/>
      <c r="AC86" s="164"/>
    </row>
    <row r="87" spans="1:29" x14ac:dyDescent="0.2">
      <c r="A87" s="164"/>
      <c r="B87" s="164"/>
      <c r="C87" s="164"/>
      <c r="D87" s="164"/>
      <c r="E87" s="164"/>
      <c r="F87" s="164"/>
      <c r="G87" s="164"/>
      <c r="H87" s="303"/>
      <c r="I87" s="164"/>
      <c r="J87" s="164"/>
      <c r="K87" s="164"/>
      <c r="L87" s="164"/>
      <c r="M87" s="164"/>
      <c r="N87" s="164"/>
      <c r="O87" s="164"/>
      <c r="P87" s="164"/>
      <c r="Q87" s="164"/>
      <c r="R87" s="164"/>
      <c r="S87" s="164"/>
      <c r="T87" s="164"/>
      <c r="U87" s="164"/>
      <c r="V87" s="164"/>
      <c r="W87" s="164"/>
      <c r="X87" s="164"/>
      <c r="Y87" s="164"/>
      <c r="Z87" s="164"/>
      <c r="AA87" s="164"/>
      <c r="AB87" s="164"/>
      <c r="AC87" s="164"/>
    </row>
    <row r="88" spans="1:29" x14ac:dyDescent="0.2">
      <c r="A88" s="164"/>
      <c r="B88" s="164"/>
      <c r="C88" s="164"/>
      <c r="D88" s="164"/>
      <c r="E88" s="164"/>
      <c r="F88" s="164"/>
      <c r="G88" s="164"/>
      <c r="H88" s="303"/>
      <c r="I88" s="164"/>
      <c r="J88" s="164"/>
      <c r="K88" s="164"/>
      <c r="L88" s="164"/>
      <c r="M88" s="164"/>
      <c r="N88" s="164"/>
      <c r="O88" s="164"/>
      <c r="P88" s="164"/>
      <c r="Q88" s="164"/>
      <c r="R88" s="164"/>
      <c r="S88" s="164"/>
      <c r="T88" s="164"/>
      <c r="U88" s="164"/>
      <c r="V88" s="164"/>
      <c r="W88" s="164"/>
      <c r="X88" s="164"/>
      <c r="Y88" s="164"/>
      <c r="Z88" s="164"/>
      <c r="AA88" s="164"/>
      <c r="AB88" s="164"/>
      <c r="AC88" s="164"/>
    </row>
    <row r="89" spans="1:29" x14ac:dyDescent="0.2">
      <c r="A89" s="164"/>
      <c r="B89" s="164"/>
      <c r="C89" s="164"/>
      <c r="D89" s="164"/>
      <c r="E89" s="164"/>
      <c r="F89" s="164"/>
      <c r="G89" s="164"/>
      <c r="H89" s="303"/>
      <c r="I89" s="164"/>
      <c r="J89" s="164"/>
      <c r="K89" s="164"/>
      <c r="L89" s="164"/>
      <c r="M89" s="164"/>
      <c r="N89" s="164"/>
      <c r="O89" s="164"/>
      <c r="P89" s="164"/>
      <c r="Q89" s="164"/>
      <c r="R89" s="164"/>
      <c r="S89" s="164"/>
      <c r="T89" s="164"/>
      <c r="U89" s="164"/>
      <c r="V89" s="164"/>
      <c r="W89" s="164"/>
      <c r="X89" s="164"/>
      <c r="Y89" s="164"/>
      <c r="Z89" s="164"/>
      <c r="AA89" s="164"/>
      <c r="AB89" s="164"/>
      <c r="AC89" s="164"/>
    </row>
    <row r="90" spans="1:29" x14ac:dyDescent="0.2">
      <c r="A90" s="164"/>
      <c r="B90" s="164"/>
      <c r="C90" s="164"/>
      <c r="D90" s="164"/>
      <c r="E90" s="164"/>
      <c r="F90" s="164"/>
      <c r="G90" s="164"/>
      <c r="H90" s="303"/>
      <c r="I90" s="164"/>
      <c r="J90" s="164"/>
      <c r="K90" s="164"/>
      <c r="L90" s="164"/>
      <c r="M90" s="164"/>
      <c r="N90" s="164"/>
      <c r="O90" s="164"/>
      <c r="P90" s="164"/>
      <c r="Q90" s="164"/>
      <c r="R90" s="164"/>
      <c r="S90" s="164"/>
      <c r="T90" s="164"/>
      <c r="U90" s="164"/>
      <c r="V90" s="164"/>
      <c r="W90" s="164"/>
      <c r="X90" s="164"/>
      <c r="Y90" s="164"/>
      <c r="Z90" s="164"/>
      <c r="AA90" s="164"/>
      <c r="AB90" s="164"/>
      <c r="AC90" s="164"/>
    </row>
    <row r="91" spans="1:29" x14ac:dyDescent="0.2">
      <c r="A91" s="164"/>
      <c r="B91" s="164"/>
      <c r="C91" s="164"/>
      <c r="D91" s="164"/>
      <c r="E91" s="164"/>
      <c r="F91" s="164"/>
      <c r="G91" s="164"/>
      <c r="H91" s="303"/>
      <c r="I91" s="164"/>
      <c r="J91" s="164"/>
      <c r="K91" s="164"/>
      <c r="L91" s="164"/>
      <c r="M91" s="164"/>
      <c r="N91" s="164"/>
      <c r="O91" s="164"/>
      <c r="P91" s="164"/>
      <c r="Q91" s="164"/>
      <c r="R91" s="164"/>
      <c r="S91" s="164"/>
      <c r="T91" s="164"/>
      <c r="U91" s="164"/>
      <c r="V91" s="164"/>
      <c r="W91" s="164"/>
      <c r="X91" s="164"/>
      <c r="Y91" s="164"/>
      <c r="Z91" s="164"/>
      <c r="AA91" s="164"/>
      <c r="AB91" s="164"/>
      <c r="AC91" s="164"/>
    </row>
    <row r="92" spans="1:29" x14ac:dyDescent="0.2">
      <c r="A92" s="164"/>
      <c r="B92" s="164"/>
      <c r="C92" s="164"/>
      <c r="D92" s="164"/>
      <c r="E92" s="164"/>
      <c r="F92" s="164"/>
      <c r="G92" s="164"/>
      <c r="H92" s="303"/>
      <c r="I92" s="164"/>
      <c r="J92" s="164"/>
      <c r="K92" s="164"/>
      <c r="L92" s="164"/>
      <c r="M92" s="164"/>
      <c r="N92" s="164"/>
      <c r="O92" s="164"/>
      <c r="P92" s="164"/>
      <c r="Q92" s="164"/>
      <c r="R92" s="164"/>
      <c r="S92" s="164"/>
      <c r="T92" s="164"/>
      <c r="U92" s="164"/>
      <c r="V92" s="164"/>
      <c r="W92" s="164"/>
      <c r="X92" s="164"/>
      <c r="Y92" s="164"/>
      <c r="Z92" s="164"/>
      <c r="AA92" s="164"/>
      <c r="AB92" s="164"/>
      <c r="AC92" s="164"/>
    </row>
    <row r="93" spans="1:29" x14ac:dyDescent="0.2">
      <c r="A93" s="164"/>
      <c r="B93" s="164"/>
      <c r="C93" s="164"/>
      <c r="D93" s="164"/>
      <c r="E93" s="164"/>
      <c r="F93" s="164"/>
      <c r="G93" s="164"/>
      <c r="H93" s="303"/>
      <c r="I93" s="164"/>
      <c r="J93" s="164"/>
      <c r="K93" s="164"/>
      <c r="L93" s="164"/>
      <c r="M93" s="164"/>
      <c r="N93" s="164"/>
      <c r="O93" s="164"/>
      <c r="P93" s="164"/>
      <c r="Q93" s="164"/>
      <c r="R93" s="164"/>
      <c r="S93" s="164"/>
      <c r="T93" s="164"/>
      <c r="U93" s="164"/>
      <c r="V93" s="164"/>
      <c r="W93" s="164"/>
      <c r="X93" s="164"/>
      <c r="Y93" s="164"/>
      <c r="Z93" s="164"/>
      <c r="AA93" s="164"/>
      <c r="AB93" s="164"/>
      <c r="AC93" s="164"/>
    </row>
    <row r="94" spans="1:29" x14ac:dyDescent="0.2">
      <c r="A94" s="164"/>
      <c r="B94" s="164"/>
      <c r="C94" s="164"/>
      <c r="D94" s="164"/>
      <c r="E94" s="164"/>
      <c r="F94" s="164"/>
      <c r="G94" s="164"/>
      <c r="H94" s="303"/>
      <c r="I94" s="164"/>
      <c r="J94" s="164"/>
      <c r="K94" s="164"/>
      <c r="L94" s="164"/>
      <c r="M94" s="164"/>
      <c r="N94" s="164"/>
      <c r="O94" s="164"/>
      <c r="P94" s="164"/>
      <c r="Q94" s="164"/>
      <c r="R94" s="164"/>
      <c r="S94" s="164"/>
      <c r="T94" s="164"/>
      <c r="U94" s="164"/>
      <c r="V94" s="164"/>
      <c r="W94" s="164"/>
      <c r="X94" s="164"/>
      <c r="Y94" s="164"/>
      <c r="Z94" s="164"/>
      <c r="AA94" s="164"/>
      <c r="AB94" s="164"/>
      <c r="AC94" s="164"/>
    </row>
    <row r="95" spans="1:29" x14ac:dyDescent="0.2">
      <c r="A95" s="164"/>
      <c r="B95" s="164"/>
      <c r="C95" s="164"/>
      <c r="D95" s="164"/>
      <c r="E95" s="164"/>
      <c r="F95" s="164"/>
      <c r="G95" s="164"/>
      <c r="H95" s="303"/>
      <c r="I95" s="164"/>
      <c r="J95" s="164"/>
      <c r="K95" s="164"/>
      <c r="L95" s="164"/>
      <c r="M95" s="164"/>
      <c r="N95" s="164"/>
      <c r="O95" s="164"/>
      <c r="P95" s="164"/>
      <c r="Q95" s="164"/>
      <c r="R95" s="164"/>
      <c r="S95" s="164"/>
      <c r="T95" s="164"/>
      <c r="U95" s="164"/>
      <c r="V95" s="164"/>
      <c r="W95" s="164"/>
      <c r="X95" s="164"/>
      <c r="Y95" s="164"/>
      <c r="Z95" s="164"/>
      <c r="AA95" s="164"/>
      <c r="AB95" s="164"/>
      <c r="AC95" s="164"/>
    </row>
    <row r="96" spans="1:29" x14ac:dyDescent="0.2">
      <c r="A96" s="164"/>
      <c r="B96" s="164"/>
      <c r="C96" s="164"/>
      <c r="D96" s="164"/>
      <c r="E96" s="164"/>
      <c r="F96" s="164"/>
      <c r="G96" s="164"/>
      <c r="H96" s="303"/>
      <c r="I96" s="164"/>
      <c r="J96" s="164"/>
      <c r="K96" s="164"/>
      <c r="L96" s="164"/>
      <c r="M96" s="164"/>
      <c r="N96" s="164"/>
      <c r="O96" s="164"/>
      <c r="P96" s="164"/>
      <c r="Q96" s="164"/>
      <c r="R96" s="164"/>
      <c r="S96" s="164"/>
      <c r="T96" s="164"/>
      <c r="U96" s="164"/>
      <c r="V96" s="164"/>
      <c r="W96" s="164"/>
      <c r="X96" s="164"/>
      <c r="Y96" s="164"/>
      <c r="Z96" s="164"/>
      <c r="AA96" s="164"/>
      <c r="AB96" s="164"/>
      <c r="AC96" s="164"/>
    </row>
    <row r="97" spans="1:29" x14ac:dyDescent="0.2">
      <c r="A97" s="164"/>
      <c r="B97" s="164"/>
      <c r="C97" s="164"/>
      <c r="D97" s="164"/>
      <c r="E97" s="164"/>
      <c r="F97" s="164"/>
      <c r="G97" s="164"/>
      <c r="H97" s="303"/>
      <c r="I97" s="164"/>
      <c r="J97" s="164"/>
      <c r="K97" s="164"/>
      <c r="L97" s="164"/>
      <c r="M97" s="164"/>
      <c r="N97" s="164"/>
      <c r="O97" s="164"/>
      <c r="P97" s="164"/>
      <c r="Q97" s="164"/>
      <c r="R97" s="164"/>
      <c r="S97" s="164"/>
      <c r="T97" s="164"/>
      <c r="U97" s="164"/>
      <c r="V97" s="164"/>
      <c r="W97" s="164"/>
      <c r="X97" s="164"/>
      <c r="Y97" s="164"/>
      <c r="Z97" s="164"/>
      <c r="AA97" s="164"/>
      <c r="AB97" s="164"/>
      <c r="AC97" s="164"/>
    </row>
    <row r="98" spans="1:29" x14ac:dyDescent="0.2">
      <c r="A98" s="164"/>
      <c r="B98" s="164"/>
      <c r="C98" s="164"/>
      <c r="D98" s="164"/>
      <c r="E98" s="164"/>
      <c r="F98" s="164"/>
      <c r="G98" s="164"/>
      <c r="H98" s="303"/>
      <c r="I98" s="164"/>
      <c r="J98" s="164"/>
      <c r="K98" s="164"/>
      <c r="L98" s="164"/>
      <c r="M98" s="164"/>
      <c r="N98" s="164"/>
      <c r="O98" s="164"/>
      <c r="P98" s="164"/>
      <c r="Q98" s="164"/>
      <c r="R98" s="164"/>
      <c r="S98" s="164"/>
      <c r="T98" s="164"/>
      <c r="U98" s="164"/>
      <c r="V98" s="164"/>
      <c r="W98" s="164"/>
      <c r="X98" s="164"/>
      <c r="Y98" s="164"/>
      <c r="Z98" s="164"/>
      <c r="AA98" s="164"/>
      <c r="AB98" s="164"/>
      <c r="AC98" s="164"/>
    </row>
    <row r="99" spans="1:29" x14ac:dyDescent="0.2">
      <c r="A99" s="164"/>
      <c r="B99" s="164"/>
      <c r="C99" s="164"/>
      <c r="D99" s="164"/>
      <c r="E99" s="164"/>
      <c r="F99" s="164"/>
      <c r="G99" s="164"/>
      <c r="H99" s="303"/>
      <c r="I99" s="164"/>
      <c r="J99" s="164"/>
      <c r="K99" s="164"/>
      <c r="L99" s="164"/>
      <c r="M99" s="164"/>
      <c r="N99" s="164"/>
      <c r="O99" s="164"/>
      <c r="P99" s="164"/>
      <c r="Q99" s="164"/>
      <c r="R99" s="164"/>
      <c r="S99" s="164"/>
      <c r="T99" s="164"/>
      <c r="U99" s="164"/>
      <c r="V99" s="164"/>
      <c r="W99" s="164"/>
      <c r="X99" s="164"/>
      <c r="Y99" s="164"/>
      <c r="Z99" s="164"/>
      <c r="AA99" s="164"/>
      <c r="AB99" s="164"/>
      <c r="AC99" s="164"/>
    </row>
    <row r="100" spans="1:29" x14ac:dyDescent="0.2">
      <c r="A100" s="164"/>
      <c r="B100" s="164"/>
      <c r="C100" s="164"/>
      <c r="D100" s="164"/>
      <c r="E100" s="164"/>
      <c r="F100" s="164"/>
      <c r="G100" s="164"/>
      <c r="H100" s="303"/>
      <c r="I100" s="164"/>
      <c r="J100" s="164"/>
      <c r="K100" s="164"/>
      <c r="L100" s="164"/>
      <c r="M100" s="164"/>
      <c r="N100" s="164"/>
      <c r="O100" s="164"/>
      <c r="P100" s="164"/>
      <c r="Q100" s="164"/>
      <c r="R100" s="164"/>
      <c r="S100" s="164"/>
      <c r="T100" s="164"/>
      <c r="U100" s="164"/>
      <c r="V100" s="164"/>
      <c r="W100" s="164"/>
      <c r="X100" s="164"/>
      <c r="Y100" s="164"/>
      <c r="Z100" s="164"/>
      <c r="AA100" s="164"/>
      <c r="AB100" s="164"/>
      <c r="AC100" s="164"/>
    </row>
    <row r="101" spans="1:29" x14ac:dyDescent="0.2">
      <c r="A101" s="164"/>
      <c r="B101" s="164"/>
      <c r="C101" s="164"/>
      <c r="D101" s="164"/>
      <c r="E101" s="164"/>
      <c r="F101" s="164"/>
      <c r="G101" s="164"/>
      <c r="H101" s="303"/>
      <c r="I101" s="164"/>
      <c r="J101" s="164"/>
      <c r="K101" s="164"/>
      <c r="L101" s="164"/>
      <c r="M101" s="164"/>
      <c r="N101" s="164"/>
      <c r="O101" s="164"/>
      <c r="P101" s="164"/>
      <c r="Q101" s="164"/>
      <c r="R101" s="164"/>
      <c r="S101" s="164"/>
      <c r="T101" s="164"/>
      <c r="U101" s="164"/>
      <c r="V101" s="164"/>
      <c r="W101" s="164"/>
      <c r="X101" s="164"/>
      <c r="Y101" s="164"/>
      <c r="Z101" s="164"/>
      <c r="AA101" s="164"/>
      <c r="AB101" s="164"/>
      <c r="AC101" s="164"/>
    </row>
    <row r="102" spans="1:29" x14ac:dyDescent="0.2">
      <c r="A102" s="164"/>
      <c r="B102" s="164"/>
      <c r="C102" s="164"/>
      <c r="D102" s="164"/>
      <c r="E102" s="164"/>
      <c r="F102" s="164"/>
      <c r="G102" s="164"/>
      <c r="H102" s="303"/>
      <c r="I102" s="164"/>
      <c r="J102" s="164"/>
      <c r="K102" s="164"/>
      <c r="L102" s="164"/>
      <c r="M102" s="164"/>
      <c r="N102" s="164"/>
      <c r="O102" s="164"/>
      <c r="P102" s="164"/>
      <c r="Q102" s="164"/>
      <c r="R102" s="164"/>
      <c r="S102" s="164"/>
      <c r="T102" s="164"/>
      <c r="U102" s="164"/>
      <c r="V102" s="164"/>
      <c r="W102" s="164"/>
      <c r="X102" s="164"/>
      <c r="Y102" s="164"/>
      <c r="Z102" s="164"/>
      <c r="AA102" s="164"/>
      <c r="AB102" s="164"/>
      <c r="AC102" s="164"/>
    </row>
    <row r="103" spans="1:29" x14ac:dyDescent="0.2">
      <c r="A103" s="164"/>
      <c r="B103" s="164"/>
      <c r="C103" s="164"/>
      <c r="D103" s="164"/>
      <c r="E103" s="164"/>
      <c r="F103" s="164"/>
      <c r="G103" s="164"/>
      <c r="H103" s="303"/>
      <c r="I103" s="164"/>
      <c r="J103" s="164"/>
      <c r="K103" s="164"/>
      <c r="L103" s="164"/>
      <c r="M103" s="164"/>
      <c r="N103" s="164"/>
      <c r="O103" s="164"/>
      <c r="P103" s="164"/>
      <c r="Q103" s="164"/>
      <c r="R103" s="164"/>
      <c r="S103" s="164"/>
      <c r="T103" s="164"/>
      <c r="U103" s="164"/>
      <c r="V103" s="164"/>
      <c r="W103" s="164"/>
      <c r="X103" s="164"/>
      <c r="Y103" s="164"/>
      <c r="Z103" s="164"/>
      <c r="AA103" s="164"/>
      <c r="AB103" s="164"/>
      <c r="AC103" s="164"/>
    </row>
    <row r="104" spans="1:29" x14ac:dyDescent="0.2">
      <c r="A104" s="164"/>
      <c r="B104" s="164"/>
      <c r="C104" s="164"/>
      <c r="D104" s="164"/>
      <c r="E104" s="164"/>
      <c r="F104" s="164"/>
      <c r="G104" s="164"/>
      <c r="H104" s="303"/>
      <c r="I104" s="164"/>
      <c r="J104" s="164"/>
      <c r="K104" s="164"/>
      <c r="L104" s="164"/>
      <c r="M104" s="164"/>
      <c r="N104" s="164"/>
      <c r="O104" s="164"/>
      <c r="P104" s="164"/>
      <c r="Q104" s="164"/>
      <c r="R104" s="164"/>
      <c r="S104" s="164"/>
      <c r="T104" s="164"/>
      <c r="U104" s="164"/>
      <c r="V104" s="164"/>
      <c r="W104" s="164"/>
      <c r="X104" s="164"/>
      <c r="Y104" s="164"/>
      <c r="Z104" s="164"/>
      <c r="AA104" s="164"/>
      <c r="AB104" s="164"/>
      <c r="AC104" s="164"/>
    </row>
    <row r="105" spans="1:29" x14ac:dyDescent="0.2">
      <c r="A105" s="164"/>
      <c r="B105" s="164"/>
      <c r="C105" s="164"/>
      <c r="D105" s="164"/>
      <c r="E105" s="164"/>
      <c r="F105" s="164"/>
      <c r="G105" s="164"/>
      <c r="H105" s="303"/>
      <c r="I105" s="164"/>
      <c r="J105" s="164"/>
      <c r="K105" s="164"/>
      <c r="L105" s="164"/>
      <c r="M105" s="164"/>
      <c r="N105" s="164"/>
      <c r="O105" s="164"/>
      <c r="P105" s="164"/>
      <c r="Q105" s="164"/>
      <c r="R105" s="164"/>
      <c r="S105" s="164"/>
      <c r="T105" s="164"/>
      <c r="U105" s="164"/>
      <c r="V105" s="164"/>
      <c r="W105" s="164"/>
      <c r="X105" s="164"/>
      <c r="Y105" s="164"/>
      <c r="Z105" s="164"/>
      <c r="AA105" s="164"/>
      <c r="AB105" s="164"/>
      <c r="AC105" s="164"/>
    </row>
    <row r="106" spans="1:29" x14ac:dyDescent="0.2">
      <c r="A106" s="164"/>
      <c r="B106" s="164"/>
      <c r="C106" s="164"/>
      <c r="D106" s="164"/>
      <c r="E106" s="164"/>
      <c r="F106" s="164"/>
      <c r="G106" s="164"/>
      <c r="H106" s="303"/>
      <c r="I106" s="164"/>
      <c r="J106" s="164"/>
      <c r="K106" s="164"/>
      <c r="L106" s="164"/>
      <c r="M106" s="164"/>
      <c r="N106" s="164"/>
      <c r="O106" s="164"/>
      <c r="P106" s="164"/>
      <c r="Q106" s="164"/>
      <c r="R106" s="164"/>
      <c r="S106" s="164"/>
      <c r="T106" s="164"/>
      <c r="U106" s="164"/>
      <c r="V106" s="164"/>
      <c r="W106" s="164"/>
      <c r="X106" s="164"/>
      <c r="Y106" s="164"/>
      <c r="Z106" s="164"/>
      <c r="AA106" s="164"/>
      <c r="AB106" s="164"/>
      <c r="AC106" s="164"/>
    </row>
    <row r="107" spans="1:29" x14ac:dyDescent="0.2">
      <c r="A107" s="164"/>
      <c r="B107" s="164"/>
      <c r="C107" s="164"/>
      <c r="D107" s="164"/>
      <c r="E107" s="164"/>
      <c r="F107" s="164"/>
      <c r="G107" s="164"/>
      <c r="H107" s="303"/>
      <c r="I107" s="164"/>
      <c r="J107" s="164"/>
      <c r="K107" s="164"/>
      <c r="L107" s="164"/>
      <c r="M107" s="164"/>
      <c r="N107" s="164"/>
      <c r="O107" s="164"/>
      <c r="P107" s="164"/>
      <c r="Q107" s="164"/>
      <c r="R107" s="164"/>
      <c r="S107" s="164"/>
      <c r="T107" s="164"/>
      <c r="U107" s="164"/>
      <c r="V107" s="164"/>
      <c r="W107" s="164"/>
      <c r="X107" s="164"/>
      <c r="Y107" s="164"/>
      <c r="Z107" s="164"/>
      <c r="AA107" s="164"/>
      <c r="AB107" s="164"/>
      <c r="AC107" s="164"/>
    </row>
    <row r="108" spans="1:29" x14ac:dyDescent="0.2">
      <c r="A108" s="164"/>
      <c r="B108" s="164"/>
      <c r="C108" s="164"/>
      <c r="D108" s="164"/>
      <c r="E108" s="164"/>
      <c r="F108" s="164"/>
      <c r="G108" s="164"/>
      <c r="H108" s="303"/>
      <c r="I108" s="164"/>
      <c r="J108" s="164"/>
      <c r="K108" s="164"/>
      <c r="L108" s="164"/>
      <c r="M108" s="164"/>
      <c r="N108" s="164"/>
      <c r="O108" s="164"/>
      <c r="P108" s="164"/>
      <c r="Q108" s="164"/>
      <c r="R108" s="164"/>
      <c r="S108" s="164"/>
      <c r="T108" s="164"/>
      <c r="U108" s="164"/>
      <c r="V108" s="164"/>
      <c r="W108" s="164"/>
      <c r="X108" s="164"/>
      <c r="Y108" s="164"/>
      <c r="Z108" s="164"/>
      <c r="AA108" s="164"/>
      <c r="AB108" s="164"/>
      <c r="AC108" s="164"/>
    </row>
  </sheetData>
  <mergeCells count="28">
    <mergeCell ref="B2:E2"/>
    <mergeCell ref="B9:J9"/>
    <mergeCell ref="B14:J14"/>
    <mergeCell ref="B19:J19"/>
    <mergeCell ref="G43:G44"/>
    <mergeCell ref="B43:B44"/>
    <mergeCell ref="C43:C44"/>
    <mergeCell ref="D43:D44"/>
    <mergeCell ref="E43:E44"/>
    <mergeCell ref="F43:F44"/>
    <mergeCell ref="B24:J24"/>
    <mergeCell ref="B25:J40"/>
    <mergeCell ref="B5:B6"/>
    <mergeCell ref="C5:C6"/>
    <mergeCell ref="D5:D6"/>
    <mergeCell ref="F5:F6"/>
    <mergeCell ref="G5:G6"/>
    <mergeCell ref="I45:I46"/>
    <mergeCell ref="B50:B52"/>
    <mergeCell ref="C50:D50"/>
    <mergeCell ref="E50:F50"/>
    <mergeCell ref="G50:H50"/>
    <mergeCell ref="I50:J50"/>
    <mergeCell ref="C51:D52"/>
    <mergeCell ref="E51:F52"/>
    <mergeCell ref="G51:H52"/>
    <mergeCell ref="I51:J52"/>
    <mergeCell ref="I43:I44"/>
  </mergeCells>
  <conditionalFormatting sqref="B13:J16">
    <cfRule type="expression" dxfId="498" priority="12">
      <formula>$J$2="No"</formula>
    </cfRule>
  </conditionalFormatting>
  <conditionalFormatting sqref="B19:J19 B18:E18 G18:J18 B20:E21 G20:J21">
    <cfRule type="expression" dxfId="497" priority="11">
      <formula>$J$2="No"</formula>
    </cfRule>
  </conditionalFormatting>
  <conditionalFormatting sqref="B20:D20 H20:I20">
    <cfRule type="expression" dxfId="496" priority="10">
      <formula>$J$2="No"</formula>
    </cfRule>
  </conditionalFormatting>
  <conditionalFormatting sqref="B21:D21 H21:I21">
    <cfRule type="expression" dxfId="495" priority="9">
      <formula>$J$2="No"</formula>
    </cfRule>
  </conditionalFormatting>
  <conditionalFormatting sqref="G20">
    <cfRule type="expression" dxfId="494" priority="8">
      <formula>$J$2="No"</formula>
    </cfRule>
  </conditionalFormatting>
  <conditionalFormatting sqref="G21">
    <cfRule type="expression" dxfId="493" priority="7">
      <formula>$J$2="No"</formula>
    </cfRule>
  </conditionalFormatting>
  <conditionalFormatting sqref="J20">
    <cfRule type="expression" dxfId="492" priority="6">
      <formula>$J$2="No"</formula>
    </cfRule>
  </conditionalFormatting>
  <conditionalFormatting sqref="J21">
    <cfRule type="expression" dxfId="491" priority="5">
      <formula>$J$2="No"</formula>
    </cfRule>
  </conditionalFormatting>
  <conditionalFormatting sqref="G50:J52">
    <cfRule type="expression" dxfId="490" priority="4">
      <formula>$J$2="No"</formula>
    </cfRule>
  </conditionalFormatting>
  <conditionalFormatting sqref="J6">
    <cfRule type="expression" dxfId="489" priority="3">
      <formula>$J$2="No"</formula>
    </cfRule>
  </conditionalFormatting>
  <conditionalFormatting sqref="F18">
    <cfRule type="expression" dxfId="488" priority="2">
      <formula>$J$2="No"</formula>
    </cfRule>
  </conditionalFormatting>
  <conditionalFormatting sqref="F20:F21">
    <cfRule type="expression" dxfId="487" priority="1">
      <formula>$J$2="No"</formula>
    </cfRule>
  </conditionalFormatting>
  <dataValidations xWindow="1630" yWindow="587" count="19">
    <dataValidation allowBlank="1" showInputMessage="1" showErrorMessage="1" promptTitle="Mentee's First Name" prompt="Enter your First or Given Name" sqref="C5:C6" xr:uid="{00000000-0002-0000-0100-000000000000}"/>
    <dataValidation allowBlank="1" showInputMessage="1" showErrorMessage="1" promptTitle="Mentee's Surname" prompt="Enter your Family or Surname" sqref="D5:D6" xr:uid="{00000000-0002-0000-0100-000001000000}"/>
    <dataValidation allowBlank="1" showInputMessage="1" showErrorMessage="1" promptTitle="Mentor's First or Given Name" prompt="Enter your Mentor's First or Given Name" sqref="C8 C10:C11" xr:uid="{00000000-0002-0000-0100-000002000000}"/>
    <dataValidation allowBlank="1" showInputMessage="1" showErrorMessage="1" promptTitle="Mentor's Surname" prompt="Enter your Mentor's Family or Surname" sqref="D8 D10:D11" xr:uid="{00000000-0002-0000-0100-000003000000}"/>
    <dataValidation allowBlank="1" showInputMessage="1" showErrorMessage="1" promptTitle="Mentor's Membership Number" prompt="Entor your Mentor's Membership number" sqref="J8 J10:J11" xr:uid="{00000000-0002-0000-0100-000004000000}"/>
    <dataValidation allowBlank="1" showInputMessage="1" showErrorMessage="1" promptTitle="Mentee's Membership Number" prompt="Please enter your membership number" sqref="J5" xr:uid="{00000000-0002-0000-0100-000005000000}"/>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25:J40" xr:uid="{00000000-0002-0000-0100-000006000000}"/>
    <dataValidation allowBlank="1" showInputMessage="1" showErrorMessage="1" promptTitle="Manager's First or Given Name" prompt="Enter your Manager's  First or Given Name" sqref="C13 C15:C16 C18 C20:C21" xr:uid="{00000000-0002-0000-0100-000007000000}"/>
    <dataValidation allowBlank="1" showInputMessage="1" showErrorMessage="1" promptTitle="Manager's  Surname" prompt="Enter your Manager's Family or Surname" sqref="D13 D15:D16 D18 D20:D21" xr:uid="{00000000-0002-0000-0100-000008000000}"/>
    <dataValidation allowBlank="1" showInputMessage="1" showErrorMessage="1" promptTitle="Start Date" prompt="Insert the date this person started being your professional registration mentor_x000a_dd mmm yyyy" sqref="E10:E11 E8" xr:uid="{00000000-0002-0000-0100-000009000000}"/>
    <dataValidation allowBlank="1" showInputMessage="1" showErrorMessage="1" promptTitle="Tutor's Membership Number" prompt="Entor your Tutor's Membership number if applicable." sqref="J13 J15:J16" xr:uid="{00000000-0002-0000-0100-00000A000000}"/>
    <dataValidation allowBlank="1" showInputMessage="1" showErrorMessage="1" promptTitle="Manager's Membership Number" prompt="Entor your Managers Membership number if applicable." sqref="J18 J20:J21" xr:uid="{00000000-0002-0000-0100-00000B000000}"/>
    <dataValidation type="date" operator="greaterThan" allowBlank="1" showInputMessage="1" showErrorMessage="1" promptTitle="Date form Filled" prompt="Please enter the date this form was originally completed or amended._x000a_Enter the date in the format dd mmm yyyy" sqref="I45:I46" xr:uid="{00000000-0002-0000-0100-00000C000000}">
      <formula1>43607</formula1>
    </dataValidation>
    <dataValidation allowBlank="1" showInputMessage="1" showErrorMessage="1" promptTitle="Apprentice's Student Number" prompt="Please enter your Student Number" sqref="J6" xr:uid="{00000000-0002-0000-0100-00000D000000}"/>
    <dataValidation allowBlank="1" showInputMessage="1" showErrorMessage="1" promptTitle="CDSID" prompt="Please Enter Your CDSID" sqref="G2" xr:uid="{00000000-0002-0000-0100-00000E000000}"/>
    <dataValidation type="date" operator="greaterThan" allowBlank="1" showInputMessage="1" showErrorMessage="1" promptTitle="Start Date" prompt="Insert the date you started on the Apprenticeship or development scheme_x000a_dd mmm yyyy" sqref="E5" xr:uid="{00000000-0002-0000-0100-00000F000000}">
      <formula1>43607</formula1>
    </dataValidation>
    <dataValidation type="date" operator="greaterThan" allowBlank="1" showInputMessage="1" showErrorMessage="1" promptTitle="Start Date" prompt="Insert the date you should complete the Apprenticeship or development scheme_x000a_dd mmm yyyy" sqref="E6" xr:uid="{00000000-0002-0000-0100-000010000000}">
      <formula1>43607</formula1>
    </dataValidation>
    <dataValidation allowBlank="1" showInputMessage="1" showErrorMessage="1" promptTitle="Start Date" prompt="Insert the date this person started being your Apprentice Tutor_x000a_dd mmm yyyy" sqref="E13 E15:E16" xr:uid="{00000000-0002-0000-0100-000011000000}"/>
    <dataValidation allowBlank="1" showInputMessage="1" showErrorMessage="1" promptTitle="Start Date" prompt="Insert the date this person started being your Apprentice Manager_x000a_dd mmm yyyy" sqref="E18 E20:E21" xr:uid="{00000000-0002-0000-0100-000012000000}"/>
  </dataValidations>
  <printOptions horizontalCentered="1" verticalCentered="1"/>
  <pageMargins left="0.25" right="0.25" top="0.75" bottom="0.75" header="0.3" footer="0.3"/>
  <pageSetup paperSize="9" scale="45" orientation="landscape" r:id="rId1"/>
  <ignoredErrors>
    <ignoredError sqref="A1" emptyCellReference="1"/>
  </ignoredErrors>
  <drawing r:id="rId2"/>
  <legacyDrawing r:id="rId3"/>
  <mc:AlternateContent xmlns:mc="http://schemas.openxmlformats.org/markup-compatibility/2006">
    <mc:Choice Requires="x14">
      <controls>
        <mc:AlternateContent xmlns:mc="http://schemas.openxmlformats.org/markup-compatibility/2006">
          <mc:Choice Requires="x14">
            <control shapeId="4101" r:id="rId4" name="Button 5">
              <controlPr defaultSize="0" print="0" autoFill="0" autoPict="0" macro="[0]!Save_Tab_to_PDF">
                <anchor moveWithCells="1" sizeWithCells="1">
                  <from>
                    <xdr:col>0</xdr:col>
                    <xdr:colOff>0</xdr:colOff>
                    <xdr:row>0</xdr:row>
                    <xdr:rowOff>0</xdr:rowOff>
                  </from>
                  <to>
                    <xdr:col>1</xdr:col>
                    <xdr:colOff>685800</xdr:colOff>
                    <xdr:row>0</xdr:row>
                    <xdr:rowOff>304800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630" yWindow="587" count="17">
        <x14:dataValidation type="list" allowBlank="1" showInputMessage="1" showErrorMessage="1" promptTitle="Mentee's Level Of Membership" prompt="Please select your level of membership for the institution selected" xr:uid="{00000000-0002-0000-0100-000013000000}">
          <x14:formula1>
            <xm:f>'Drop Down Lists'!$A$13:$A$18</xm:f>
          </x14:formula1>
          <xm:sqref>G5:G6</xm:sqref>
        </x14:dataValidation>
        <x14:dataValidation type="list" allowBlank="1" showInputMessage="1" showErrorMessage="1" promptTitle="Mentor's Level of Membership" prompt="Please select your mentor's level of membership for the institution selected" xr:uid="{00000000-0002-0000-0100-000014000000}">
          <x14:formula1>
            <xm:f>'Drop Down Lists'!$A$13:$A$18</xm:f>
          </x14:formula1>
          <xm:sqref>G8 G10:G11</xm:sqref>
        </x14:dataValidation>
        <x14:dataValidation type="list" allowBlank="1" showInputMessage="1" showErrorMessage="1" promptTitle="Mentee's Current Category" prompt="Please select the category of registration you are currently registered in." xr:uid="{00000000-0002-0000-0100-000015000000}">
          <x14:formula1>
            <xm:f>'Drop Down Lists'!$A$6:$A$10</xm:f>
          </x14:formula1>
          <xm:sqref>I5</xm:sqref>
        </x14:dataValidation>
        <x14:dataValidation type="list" allowBlank="1" showInputMessage="1" showErrorMessage="1" promptTitle="Mentee's desired Category" prompt="Please select the category of registration you would like to become registered in." xr:uid="{00000000-0002-0000-0100-000016000000}">
          <x14:formula1>
            <xm:f>'Drop Down Lists'!$A$6:$A$10</xm:f>
          </x14:formula1>
          <xm:sqref>I6</xm:sqref>
        </x14:dataValidation>
        <x14:dataValidation type="list" allowBlank="1" showInputMessage="1" showErrorMessage="1" promptTitle="Mentor's Category" prompt="Please select the category of registration your mentor is currently registered in." xr:uid="{00000000-0002-0000-0100-000017000000}">
          <x14:formula1>
            <xm:f>'Drop Down Lists'!$A$6:$A$10</xm:f>
          </x14:formula1>
          <xm:sqref>I8 I10:I11</xm:sqref>
        </x14:dataValidation>
        <x14:dataValidation type="list" allowBlank="1" showInputMessage="1" showErrorMessage="1" promptTitle="Prior Experience Claim" prompt="Mentor to indicate initial assessement of competence from evidence and report above. _x000a_0 - None Demonstrated_x000a_1 - Aware_x000a_2 - Familiar_x000a_3 - Skilled_x000a_4 - Expert" xr:uid="{00000000-0002-0000-0100-000018000000}">
          <x14:formula1>
            <xm:f>'Drop Down Lists'!$A$22:$A$26</xm:f>
          </x14:formula1>
          <xm:sqref>C46:G46</xm:sqref>
        </x14:dataValidation>
        <x14:dataValidation type="list" allowBlank="1" showInputMessage="1" showErrorMessage="1" promptTitle="Prior Experience Claim" prompt="Mentee to indicate self  assessement of competence based on previous experience. _x000a_0 - None Demonstrated_x000a_1 - Aware_x000a_2 - Familiar_x000a_3 - Skilled_x000a_4 - Expert" xr:uid="{00000000-0002-0000-0100-000019000000}">
          <x14:formula1>
            <xm:f>'Drop Down Lists'!$A$22:$A$26</xm:f>
          </x14:formula1>
          <xm:sqref>C45:G45</xm:sqref>
        </x14:dataValidation>
        <x14:dataValidation type="list" allowBlank="1" showInputMessage="1" showErrorMessage="1" promptTitle="Prior Experience Claim" prompt="Both to agree initial assessement of competence from evidence and report above. _x000a_0 - None Demonstrated_x000a_1 - Aware_x000a_2 - Familiar_x000a_3 - Skilled_x000a_4 - Expert" xr:uid="{00000000-0002-0000-0100-00001A000000}">
          <x14:formula1>
            <xm:f>'Drop Down Lists'!$A$22:$A$26</xm:f>
          </x14:formula1>
          <xm:sqref>C47:G47</xm:sqref>
        </x14:dataValidation>
        <x14:dataValidation type="list" allowBlank="1" showInputMessage="1" showErrorMessage="1" promptTitle="Manager's Category" prompt="Please select the category of registration your Manager is currently registered in if applicable." xr:uid="{00000000-0002-0000-0100-00001B000000}">
          <x14:formula1>
            <xm:f>'Drop Down Lists'!$A$6:$A$10</xm:f>
          </x14:formula1>
          <xm:sqref>I18 I20:I21</xm:sqref>
        </x14:dataValidation>
        <x14:dataValidation type="list" allowBlank="1" showInputMessage="1" showErrorMessage="1" promptTitle="Degree Apprentice?" prompt="Degree or PGDip Apprentices Select Yes_x000a__x000a_Graduates Select No" xr:uid="{00000000-0002-0000-0100-00001C000000}">
          <x14:formula1>
            <xm:f>'Drop Down Lists'!$A$2:$A$3</xm:f>
          </x14:formula1>
          <xm:sqref>J2</xm:sqref>
        </x14:dataValidation>
        <x14:dataValidation type="list" allowBlank="1" showInputMessage="1" showErrorMessage="1" promptTitle="Tutor's Level of Membership" prompt="Please select your Tutor's level of membership for the institution selected" xr:uid="{00000000-0002-0000-0100-00001D000000}">
          <x14:formula1>
            <xm:f>'Drop Down Lists'!$A$13:$A$18</xm:f>
          </x14:formula1>
          <xm:sqref>G13 G15:G16</xm:sqref>
        </x14:dataValidation>
        <x14:dataValidation type="list" allowBlank="1" showInputMessage="1" showErrorMessage="1" promptTitle="Manager's Level of Membership" prompt="Please select your manager's level of membership for the institution selected" xr:uid="{00000000-0002-0000-0100-00001E000000}">
          <x14:formula1>
            <xm:f>'Drop Down Lists'!$A$13:$A$18</xm:f>
          </x14:formula1>
          <xm:sqref>G18 G20:G21</xm:sqref>
        </x14:dataValidation>
        <x14:dataValidation type="list" allowBlank="1" showInputMessage="1" showErrorMessage="1" promptTitle="Tutor's Category" prompt="Please select the category of registration your Tutor is currently registered in if applicable." xr:uid="{00000000-0002-0000-0100-00001F000000}">
          <x14:formula1>
            <xm:f>'Drop Down Lists'!$A$6:$A$10</xm:f>
          </x14:formula1>
          <xm:sqref>I13 I15:I16</xm:sqref>
        </x14:dataValidation>
        <x14:dataValidation type="list" allowBlank="1" showInputMessage="1" showErrorMessage="1" promptTitle="Mentee's Institution" prompt="Please select the institution you are affiliated to or a member of._x000a_Most Engineers at JLR are members of the IMechE or IET, but you are not limited to registering with those. Please discuss with your mentor." xr:uid="{00000000-0002-0000-0100-000020000000}">
          <x14:formula1>
            <xm:f>'Drop Down Lists'!$D$2:$D$36</xm:f>
          </x14:formula1>
          <xm:sqref>F5:F6</xm:sqref>
        </x14:dataValidation>
        <x14:dataValidation type="list" allowBlank="1" showInputMessage="1" showErrorMessage="1" promptTitle="Mentor's Institution" prompt="Please select the institution your mentor is a member of. If affiliated to more than one pick the institution most relevent to the mentee." xr:uid="{00000000-0002-0000-0100-000021000000}">
          <x14:formula1>
            <xm:f>'Drop Down Lists'!$D$2:$D$36</xm:f>
          </x14:formula1>
          <xm:sqref>F8 F10:F11</xm:sqref>
        </x14:dataValidation>
        <x14:dataValidation type="list" allowBlank="1" showInputMessage="1" showErrorMessage="1" promptTitle="Tutor's Institution" prompt="Please select the institution your Tutor is a member of if applicable." xr:uid="{00000000-0002-0000-0100-000022000000}">
          <x14:formula1>
            <xm:f>'Drop Down Lists'!$D$2:$D$36</xm:f>
          </x14:formula1>
          <xm:sqref>F13 F15:F16</xm:sqref>
        </x14:dataValidation>
        <x14:dataValidation type="list" allowBlank="1" showInputMessage="1" showErrorMessage="1" promptTitle="Manager's Institution" prompt="Please select the institution your Tutor is a member of if applicable." xr:uid="{00000000-0002-0000-0100-000023000000}">
          <x14:formula1>
            <xm:f>'Drop Down Lists'!$D$2:$D$36</xm:f>
          </x14:formula1>
          <xm:sqref>F18 F20:F21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BH126"/>
  <sheetViews>
    <sheetView zoomScale="80" zoomScaleNormal="80" workbookViewId="0">
      <selection activeCell="C10" sqref="C10"/>
    </sheetView>
  </sheetViews>
  <sheetFormatPr baseColWidth="10" defaultColWidth="8.6640625" defaultRowHeight="16" x14ac:dyDescent="0.2"/>
  <cols>
    <col min="1" max="1" width="5" style="72" customWidth="1"/>
    <col min="2" max="2" width="12.5" style="73" customWidth="1"/>
    <col min="3" max="33" width="5.6640625" style="72" customWidth="1"/>
    <col min="34" max="34" width="3.6640625" style="72" customWidth="1"/>
    <col min="35" max="60" width="8.6640625" style="177"/>
    <col min="61" max="16384" width="8.6640625" style="72"/>
  </cols>
  <sheetData>
    <row r="1" spans="1:60" ht="25.25" customHeight="1" x14ac:dyDescent="0.2">
      <c r="A1" s="229" t="str">
        <f ca="1">RIGHT(CELL("filename",ZZ1000),LEN(CELL("filename",ZZ1000))-FIND("]",CELL("filename",ZZ1000)))</f>
        <v>Progress</v>
      </c>
      <c r="B1" s="149"/>
      <c r="C1" s="226"/>
      <c r="D1" s="150"/>
      <c r="E1" s="150"/>
      <c r="F1" s="150"/>
      <c r="G1" s="150"/>
      <c r="H1" s="150"/>
      <c r="I1" s="150"/>
      <c r="J1" s="150"/>
      <c r="K1" s="150"/>
      <c r="L1" s="150"/>
      <c r="M1" s="150"/>
      <c r="N1" s="150"/>
      <c r="O1" s="150"/>
      <c r="P1" s="150"/>
      <c r="Q1" s="150"/>
      <c r="R1" s="150"/>
      <c r="S1" s="150"/>
      <c r="T1" s="150"/>
      <c r="U1" s="150"/>
      <c r="V1" s="150"/>
      <c r="W1" s="150"/>
      <c r="X1" s="150"/>
      <c r="Y1" s="147"/>
      <c r="Z1" s="223"/>
      <c r="AA1" s="148"/>
      <c r="AB1" s="223"/>
      <c r="AC1" s="428" t="s">
        <v>256</v>
      </c>
      <c r="AD1" s="428"/>
      <c r="AE1" s="428"/>
      <c r="AF1" s="427">
        <f ca="1">TODAY()</f>
        <v>43969</v>
      </c>
      <c r="AG1" s="427"/>
      <c r="AH1" s="151"/>
    </row>
    <row r="2" spans="1:60" s="10" customFormat="1" ht="36" customHeight="1" x14ac:dyDescent="0.35">
      <c r="A2" s="14"/>
      <c r="B2" s="465" t="s">
        <v>257</v>
      </c>
      <c r="C2" s="465"/>
      <c r="D2" s="465"/>
      <c r="E2" s="465"/>
      <c r="F2" s="465"/>
      <c r="G2" s="465"/>
      <c r="H2" s="465"/>
      <c r="I2" s="465"/>
      <c r="J2" s="465"/>
      <c r="K2" s="465"/>
      <c r="L2" s="465"/>
      <c r="M2" s="465"/>
      <c r="N2" s="465"/>
      <c r="O2" s="465"/>
      <c r="P2" s="15"/>
      <c r="Q2" s="15"/>
      <c r="R2" s="15"/>
      <c r="S2" s="15"/>
      <c r="T2" s="15"/>
      <c r="U2" s="15"/>
      <c r="V2" s="429" t="s">
        <v>283</v>
      </c>
      <c r="W2" s="430"/>
      <c r="X2" s="431"/>
      <c r="Y2" s="438" t="s">
        <v>284</v>
      </c>
      <c r="Z2" s="439"/>
      <c r="AA2" s="440"/>
      <c r="AB2" s="447" t="s">
        <v>282</v>
      </c>
      <c r="AC2" s="448"/>
      <c r="AD2" s="449"/>
      <c r="AE2" s="456" t="s">
        <v>258</v>
      </c>
      <c r="AF2" s="457"/>
      <c r="AG2" s="458"/>
      <c r="AH2" s="16"/>
      <c r="AI2" s="163"/>
      <c r="AJ2" s="163"/>
      <c r="AK2" s="163"/>
      <c r="AL2" s="163"/>
      <c r="AM2" s="163"/>
      <c r="AN2" s="163"/>
      <c r="AO2" s="163"/>
      <c r="AP2" s="163"/>
      <c r="AQ2" s="163"/>
      <c r="AR2" s="163"/>
      <c r="AS2" s="163"/>
      <c r="AT2" s="163"/>
      <c r="AU2" s="163"/>
      <c r="AV2" s="163"/>
      <c r="AW2" s="163"/>
      <c r="AX2" s="163"/>
      <c r="AY2" s="163"/>
      <c r="AZ2" s="163"/>
      <c r="BA2" s="163"/>
      <c r="BB2" s="163"/>
      <c r="BC2" s="163"/>
      <c r="BD2" s="163"/>
      <c r="BE2" s="163"/>
      <c r="BF2" s="163"/>
      <c r="BG2" s="163"/>
      <c r="BH2" s="163"/>
    </row>
    <row r="3" spans="1:60" ht="6.5" customHeight="1" thickBot="1" x14ac:dyDescent="0.25">
      <c r="A3" s="152"/>
      <c r="B3" s="153"/>
      <c r="C3" s="154"/>
      <c r="D3" s="154"/>
      <c r="E3" s="154"/>
      <c r="F3" s="154"/>
      <c r="G3" s="154"/>
      <c r="H3" s="154"/>
      <c r="I3" s="154"/>
      <c r="J3" s="154"/>
      <c r="K3" s="154"/>
      <c r="L3" s="154"/>
      <c r="M3" s="154"/>
      <c r="N3" s="154"/>
      <c r="O3" s="154"/>
      <c r="P3" s="154"/>
      <c r="Q3" s="154"/>
      <c r="R3" s="154"/>
      <c r="S3" s="154"/>
      <c r="T3" s="154"/>
      <c r="U3" s="154"/>
      <c r="V3" s="432"/>
      <c r="W3" s="433"/>
      <c r="X3" s="434"/>
      <c r="Y3" s="441"/>
      <c r="Z3" s="442"/>
      <c r="AA3" s="443"/>
      <c r="AB3" s="450"/>
      <c r="AC3" s="451"/>
      <c r="AD3" s="452"/>
      <c r="AE3" s="459"/>
      <c r="AF3" s="460"/>
      <c r="AG3" s="461"/>
      <c r="AH3" s="155"/>
    </row>
    <row r="4" spans="1:60" ht="22.25" customHeight="1" thickBot="1" x14ac:dyDescent="0.25">
      <c r="A4" s="152"/>
      <c r="B4" s="153"/>
      <c r="C4" s="18"/>
      <c r="D4" s="18"/>
      <c r="E4" s="154"/>
      <c r="F4" s="154"/>
      <c r="G4" s="154"/>
      <c r="H4" s="417" t="s">
        <v>2</v>
      </c>
      <c r="I4" s="418"/>
      <c r="J4" s="418"/>
      <c r="K4" s="418"/>
      <c r="L4" s="418" t="s">
        <v>3</v>
      </c>
      <c r="M4" s="418"/>
      <c r="N4" s="418"/>
      <c r="O4" s="418"/>
      <c r="P4" s="418" t="s">
        <v>216</v>
      </c>
      <c r="Q4" s="418"/>
      <c r="R4" s="418" t="s">
        <v>255</v>
      </c>
      <c r="S4" s="418"/>
      <c r="T4" s="466"/>
      <c r="U4" s="154"/>
      <c r="V4" s="432"/>
      <c r="W4" s="433"/>
      <c r="X4" s="434"/>
      <c r="Y4" s="441"/>
      <c r="Z4" s="442"/>
      <c r="AA4" s="443"/>
      <c r="AB4" s="450"/>
      <c r="AC4" s="451"/>
      <c r="AD4" s="452"/>
      <c r="AE4" s="459"/>
      <c r="AF4" s="460"/>
      <c r="AG4" s="461"/>
      <c r="AH4" s="155"/>
    </row>
    <row r="5" spans="1:60" ht="22.25" customHeight="1" x14ac:dyDescent="0.2">
      <c r="A5" s="152"/>
      <c r="B5" s="153"/>
      <c r="C5" s="419" t="s">
        <v>211</v>
      </c>
      <c r="D5" s="420"/>
      <c r="E5" s="420"/>
      <c r="F5" s="420"/>
      <c r="G5" s="421"/>
      <c r="H5" s="413" t="str">
        <f>'Front Sheet'!C5:C6</f>
        <v>Philip</v>
      </c>
      <c r="I5" s="414"/>
      <c r="J5" s="414"/>
      <c r="K5" s="414"/>
      <c r="L5" s="414" t="str">
        <f>'Front Sheet'!D5:D6</f>
        <v>McGaw</v>
      </c>
      <c r="M5" s="414"/>
      <c r="N5" s="414"/>
      <c r="O5" s="414"/>
      <c r="P5" s="414" t="str">
        <f>'Front Sheet'!G2</f>
        <v>pmcgaw</v>
      </c>
      <c r="Q5" s="414"/>
      <c r="R5" s="414">
        <f>'Front Sheet'!J5</f>
        <v>83137730</v>
      </c>
      <c r="S5" s="414"/>
      <c r="T5" s="467"/>
      <c r="U5" s="154"/>
      <c r="V5" s="432"/>
      <c r="W5" s="433"/>
      <c r="X5" s="434"/>
      <c r="Y5" s="441"/>
      <c r="Z5" s="442"/>
      <c r="AA5" s="443"/>
      <c r="AB5" s="450"/>
      <c r="AC5" s="451"/>
      <c r="AD5" s="452"/>
      <c r="AE5" s="459"/>
      <c r="AF5" s="460"/>
      <c r="AG5" s="461"/>
      <c r="AH5" s="155"/>
    </row>
    <row r="6" spans="1:60" ht="22.25" customHeight="1" thickBot="1" x14ac:dyDescent="0.25">
      <c r="A6" s="152"/>
      <c r="B6" s="153"/>
      <c r="C6" s="422"/>
      <c r="D6" s="423"/>
      <c r="E6" s="423"/>
      <c r="F6" s="423"/>
      <c r="G6" s="424"/>
      <c r="H6" s="415"/>
      <c r="I6" s="416"/>
      <c r="J6" s="416"/>
      <c r="K6" s="416"/>
      <c r="L6" s="416"/>
      <c r="M6" s="416"/>
      <c r="N6" s="416"/>
      <c r="O6" s="416"/>
      <c r="P6" s="416"/>
      <c r="Q6" s="416"/>
      <c r="R6" s="416">
        <f>'Front Sheet'!J6</f>
        <v>0</v>
      </c>
      <c r="S6" s="416"/>
      <c r="T6" s="468"/>
      <c r="U6" s="154"/>
      <c r="V6" s="435"/>
      <c r="W6" s="436"/>
      <c r="X6" s="437"/>
      <c r="Y6" s="444"/>
      <c r="Z6" s="445"/>
      <c r="AA6" s="446"/>
      <c r="AB6" s="453"/>
      <c r="AC6" s="454"/>
      <c r="AD6" s="455"/>
      <c r="AE6" s="462"/>
      <c r="AF6" s="463"/>
      <c r="AG6" s="464"/>
      <c r="AH6" s="155"/>
    </row>
    <row r="7" spans="1:60" ht="21" customHeight="1" x14ac:dyDescent="0.2">
      <c r="A7" s="152"/>
      <c r="B7" s="153"/>
      <c r="C7" s="154"/>
      <c r="D7" s="154"/>
      <c r="E7" s="154"/>
      <c r="F7" s="154"/>
      <c r="G7" s="154"/>
      <c r="H7" s="154"/>
      <c r="I7" s="154"/>
      <c r="J7" s="154"/>
      <c r="K7" s="154"/>
      <c r="L7" s="154"/>
      <c r="M7" s="154"/>
      <c r="N7" s="154"/>
      <c r="O7" s="154"/>
      <c r="P7" s="154"/>
      <c r="Q7" s="154"/>
      <c r="R7" s="154"/>
      <c r="S7" s="154"/>
      <c r="T7" s="154"/>
      <c r="U7" s="154"/>
      <c r="V7" s="154"/>
      <c r="W7" s="154"/>
      <c r="X7" s="154"/>
      <c r="Y7" s="154"/>
      <c r="Z7" s="154"/>
      <c r="AA7" s="154"/>
      <c r="AB7" s="154"/>
      <c r="AC7" s="154"/>
      <c r="AD7" s="154"/>
      <c r="AE7" s="154"/>
      <c r="AF7" s="154"/>
      <c r="AG7" s="154"/>
      <c r="AH7" s="155"/>
    </row>
    <row r="8" spans="1:60" s="73" customFormat="1" ht="15.5" customHeight="1" thickBot="1" x14ac:dyDescent="0.25">
      <c r="A8" s="152"/>
      <c r="B8" s="153"/>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7"/>
      <c r="AI8" s="178"/>
      <c r="AJ8" s="178"/>
      <c r="AK8" s="178"/>
      <c r="AL8" s="178"/>
      <c r="AM8" s="178"/>
      <c r="AN8" s="178"/>
      <c r="AO8" s="178"/>
      <c r="AP8" s="178"/>
      <c r="AQ8" s="178"/>
      <c r="AR8" s="178"/>
      <c r="AS8" s="178"/>
      <c r="AT8" s="178"/>
      <c r="AU8" s="178"/>
      <c r="AV8" s="178"/>
      <c r="AW8" s="178"/>
      <c r="AX8" s="178"/>
      <c r="AY8" s="178"/>
      <c r="AZ8" s="178"/>
      <c r="BA8" s="178"/>
      <c r="BB8" s="178"/>
      <c r="BC8" s="178"/>
      <c r="BD8" s="178"/>
      <c r="BE8" s="178"/>
      <c r="BF8" s="178"/>
      <c r="BG8" s="178"/>
      <c r="BH8" s="178"/>
    </row>
    <row r="9" spans="1:60" s="73" customFormat="1" ht="75.5" customHeight="1" thickBot="1" x14ac:dyDescent="0.25">
      <c r="A9" s="156"/>
      <c r="B9" s="184"/>
      <c r="C9" s="180" t="s">
        <v>129</v>
      </c>
      <c r="D9" s="246" t="s">
        <v>270</v>
      </c>
      <c r="E9" s="247" t="s">
        <v>267</v>
      </c>
      <c r="F9" s="247" t="s">
        <v>268</v>
      </c>
      <c r="G9" s="248" t="s">
        <v>269</v>
      </c>
      <c r="H9" s="180" t="s">
        <v>261</v>
      </c>
      <c r="I9" s="181" t="s">
        <v>270</v>
      </c>
      <c r="J9" s="182" t="s">
        <v>267</v>
      </c>
      <c r="K9" s="182" t="s">
        <v>268</v>
      </c>
      <c r="L9" s="183" t="s">
        <v>269</v>
      </c>
      <c r="M9" s="180" t="s">
        <v>262</v>
      </c>
      <c r="N9" s="181" t="s">
        <v>270</v>
      </c>
      <c r="O9" s="182" t="s">
        <v>267</v>
      </c>
      <c r="P9" s="182" t="s">
        <v>268</v>
      </c>
      <c r="Q9" s="183" t="s">
        <v>269</v>
      </c>
      <c r="R9" s="180" t="s">
        <v>263</v>
      </c>
      <c r="S9" s="181" t="s">
        <v>270</v>
      </c>
      <c r="T9" s="182" t="s">
        <v>267</v>
      </c>
      <c r="U9" s="182" t="s">
        <v>268</v>
      </c>
      <c r="V9" s="183" t="s">
        <v>269</v>
      </c>
      <c r="W9" s="180" t="s">
        <v>264</v>
      </c>
      <c r="X9" s="181" t="s">
        <v>270</v>
      </c>
      <c r="Y9" s="182" t="s">
        <v>267</v>
      </c>
      <c r="Z9" s="182" t="s">
        <v>268</v>
      </c>
      <c r="AA9" s="183" t="s">
        <v>269</v>
      </c>
      <c r="AB9" s="180" t="s">
        <v>265</v>
      </c>
      <c r="AC9" s="181" t="s">
        <v>270</v>
      </c>
      <c r="AD9" s="182" t="s">
        <v>267</v>
      </c>
      <c r="AE9" s="182" t="s">
        <v>268</v>
      </c>
      <c r="AF9" s="183" t="s">
        <v>269</v>
      </c>
      <c r="AG9" s="180" t="s">
        <v>266</v>
      </c>
      <c r="AH9" s="157"/>
      <c r="AI9" s="178"/>
      <c r="AJ9" s="178"/>
      <c r="AK9" s="178"/>
      <c r="AL9" s="178"/>
      <c r="AM9" s="178"/>
      <c r="AN9" s="178"/>
      <c r="AO9" s="178"/>
      <c r="AP9" s="178"/>
      <c r="AQ9" s="178"/>
      <c r="AR9" s="178"/>
      <c r="AS9" s="178"/>
      <c r="AT9" s="178"/>
      <c r="AU9" s="178"/>
      <c r="AV9" s="178"/>
      <c r="AW9" s="178"/>
      <c r="AX9" s="178"/>
      <c r="AY9" s="178"/>
      <c r="AZ9" s="178"/>
      <c r="BA9" s="178"/>
      <c r="BB9" s="178"/>
      <c r="BC9" s="178"/>
      <c r="BD9" s="178"/>
      <c r="BE9" s="178"/>
      <c r="BF9" s="178"/>
      <c r="BG9" s="178"/>
      <c r="BH9" s="178"/>
    </row>
    <row r="10" spans="1:60" ht="17" x14ac:dyDescent="0.2">
      <c r="A10" s="152"/>
      <c r="B10" s="93" t="s">
        <v>109</v>
      </c>
      <c r="C10" s="242">
        <f>'Front Sheet'!C47</f>
        <v>0</v>
      </c>
      <c r="D10" s="250">
        <f>'Y1 R1'!N10</f>
        <v>0</v>
      </c>
      <c r="E10" s="251">
        <f>'Y1 R2'!N10</f>
        <v>0</v>
      </c>
      <c r="F10" s="251">
        <f>'Y1 R3'!N10</f>
        <v>0</v>
      </c>
      <c r="G10" s="252">
        <f>'Y1 R4'!N10</f>
        <v>0</v>
      </c>
      <c r="H10" s="259">
        <f>AVERAGE(D10:G10)</f>
        <v>0</v>
      </c>
      <c r="I10" s="102">
        <f>'Y2 R1'!N10</f>
        <v>0</v>
      </c>
      <c r="J10" s="103">
        <f>'Y2 R2'!N10</f>
        <v>0</v>
      </c>
      <c r="K10" s="103">
        <f>'Y2 R3'!N10</f>
        <v>0</v>
      </c>
      <c r="L10" s="104">
        <f>'Y2 R4'!N10</f>
        <v>0</v>
      </c>
      <c r="M10" s="101">
        <f>AVERAGE(I10:L10)</f>
        <v>0</v>
      </c>
      <c r="N10" s="102">
        <f>'Y3 R1'!N10</f>
        <v>0</v>
      </c>
      <c r="O10" s="103">
        <f>'Y3 R2'!N11</f>
        <v>0</v>
      </c>
      <c r="P10" s="103">
        <f>'Y3 R3'!N10</f>
        <v>0</v>
      </c>
      <c r="Q10" s="104">
        <f>'Y3 R4'!N10</f>
        <v>0</v>
      </c>
      <c r="R10" s="101">
        <f>AVERAGE(N10:Q10)</f>
        <v>0</v>
      </c>
      <c r="S10" s="102">
        <f>'Y4 R1'!N10</f>
        <v>0</v>
      </c>
      <c r="T10" s="103">
        <f>'Y4 R2'!N10</f>
        <v>0</v>
      </c>
      <c r="U10" s="103">
        <f>'Y4 R3'!N10</f>
        <v>0</v>
      </c>
      <c r="V10" s="104">
        <f>'Y4 R4'!N10</f>
        <v>0</v>
      </c>
      <c r="W10" s="101">
        <f>AVERAGE(S10:V10)</f>
        <v>0</v>
      </c>
      <c r="X10" s="102">
        <f>'Y5 R1'!N10</f>
        <v>0</v>
      </c>
      <c r="Y10" s="103">
        <f>'Y5 R2'!N10</f>
        <v>0</v>
      </c>
      <c r="Z10" s="103">
        <f>'Y5 R3'!N10</f>
        <v>0</v>
      </c>
      <c r="AA10" s="104">
        <f>'Y5 R4'!N10</f>
        <v>0</v>
      </c>
      <c r="AB10" s="101">
        <f>AVERAGE(X10:AA10)</f>
        <v>0</v>
      </c>
      <c r="AC10" s="102">
        <f>'Y6 R1'!N10</f>
        <v>0</v>
      </c>
      <c r="AD10" s="103">
        <f>'Y6 R2'!N10</f>
        <v>0</v>
      </c>
      <c r="AE10" s="103">
        <f>'Y6 R3'!N10</f>
        <v>0</v>
      </c>
      <c r="AF10" s="104">
        <f>'Y6 R4'!N10</f>
        <v>0</v>
      </c>
      <c r="AG10" s="101">
        <f>AVERAGE(AC10:AF10)</f>
        <v>0</v>
      </c>
      <c r="AH10" s="155"/>
    </row>
    <row r="11" spans="1:60" ht="17" x14ac:dyDescent="0.2">
      <c r="A11" s="152"/>
      <c r="B11" s="94" t="s">
        <v>110</v>
      </c>
      <c r="C11" s="243">
        <f>'Front Sheet'!C47</f>
        <v>0</v>
      </c>
      <c r="D11" s="253">
        <f>'Y1 R1'!N11</f>
        <v>0</v>
      </c>
      <c r="E11" s="107">
        <f>'Y1 R2'!N11</f>
        <v>0</v>
      </c>
      <c r="F11" s="107">
        <f>'Y1 R3'!N11</f>
        <v>0</v>
      </c>
      <c r="G11" s="254">
        <f>'Y1 R4'!N11</f>
        <v>0</v>
      </c>
      <c r="H11" s="105">
        <f t="shared" ref="H11:H30" si="0">AVERAGE(D11:G11)</f>
        <v>0</v>
      </c>
      <c r="I11" s="102">
        <f>'Y2 R1'!N11</f>
        <v>0</v>
      </c>
      <c r="J11" s="103">
        <f>'Y2 R2'!N11</f>
        <v>0</v>
      </c>
      <c r="K11" s="103">
        <f>'Y2 R3'!N11</f>
        <v>0</v>
      </c>
      <c r="L11" s="104">
        <f>'Y2 R4'!N11</f>
        <v>0</v>
      </c>
      <c r="M11" s="105">
        <f t="shared" ref="M11:M30" si="1">AVERAGE(I11:L11)</f>
        <v>0</v>
      </c>
      <c r="N11" s="102">
        <f>'Y3 R1'!N11</f>
        <v>0</v>
      </c>
      <c r="O11" s="103">
        <f>'Y3 R2'!N12</f>
        <v>0</v>
      </c>
      <c r="P11" s="103">
        <f>'Y3 R3'!N11</f>
        <v>0</v>
      </c>
      <c r="Q11" s="104">
        <f>'Y3 R4'!N11</f>
        <v>0</v>
      </c>
      <c r="R11" s="105">
        <f t="shared" ref="R11:R30" si="2">AVERAGE(N11:Q11)</f>
        <v>0</v>
      </c>
      <c r="S11" s="102">
        <f>'Y4 R1'!N11</f>
        <v>0</v>
      </c>
      <c r="T11" s="103">
        <f>'Y4 R2'!N11</f>
        <v>0</v>
      </c>
      <c r="U11" s="103">
        <f>'Y4 R3'!N11</f>
        <v>0</v>
      </c>
      <c r="V11" s="104">
        <f>'Y4 R4'!N11</f>
        <v>0</v>
      </c>
      <c r="W11" s="105">
        <f t="shared" ref="W11:W30" si="3">AVERAGE(S11:V11)</f>
        <v>0</v>
      </c>
      <c r="X11" s="102">
        <f>'Y5 R1'!N11</f>
        <v>0</v>
      </c>
      <c r="Y11" s="103">
        <f>'Y5 R2'!N11</f>
        <v>0</v>
      </c>
      <c r="Z11" s="103">
        <f>'Y5 R3'!N11</f>
        <v>0</v>
      </c>
      <c r="AA11" s="104">
        <f>'Y5 R4'!N11</f>
        <v>0</v>
      </c>
      <c r="AB11" s="105">
        <f t="shared" ref="AB11:AB30" si="4">AVERAGE(X11:AA11)</f>
        <v>0</v>
      </c>
      <c r="AC11" s="102">
        <f>'Y6 R1'!N11</f>
        <v>0</v>
      </c>
      <c r="AD11" s="103">
        <f>'Y6 R2'!N11</f>
        <v>0</v>
      </c>
      <c r="AE11" s="103">
        <f>'Y6 R3'!N11</f>
        <v>0</v>
      </c>
      <c r="AF11" s="104">
        <f>'Y6 R4'!N11</f>
        <v>0</v>
      </c>
      <c r="AG11" s="105">
        <f t="shared" ref="AG11:AG30" si="5">AVERAGE(AC11:AF11)</f>
        <v>0</v>
      </c>
      <c r="AH11" s="155"/>
    </row>
    <row r="12" spans="1:60" s="73" customFormat="1" ht="17" x14ac:dyDescent="0.2">
      <c r="A12" s="156"/>
      <c r="B12" s="94" t="s">
        <v>219</v>
      </c>
      <c r="C12" s="244">
        <f>AVERAGE(C10:C11)</f>
        <v>0</v>
      </c>
      <c r="D12" s="255">
        <f t="shared" ref="D12:AF12" si="6">AVERAGE(D10:D11)</f>
        <v>0</v>
      </c>
      <c r="E12" s="111">
        <f t="shared" si="6"/>
        <v>0</v>
      </c>
      <c r="F12" s="111">
        <f t="shared" ref="F12:G12" si="7">AVERAGE(F10:F11)</f>
        <v>0</v>
      </c>
      <c r="G12" s="256">
        <f t="shared" si="7"/>
        <v>0</v>
      </c>
      <c r="H12" s="109">
        <f>AVERAGE(H10:H11)</f>
        <v>0</v>
      </c>
      <c r="I12" s="110">
        <f t="shared" si="6"/>
        <v>0</v>
      </c>
      <c r="J12" s="111">
        <f t="shared" si="6"/>
        <v>0</v>
      </c>
      <c r="K12" s="111">
        <f t="shared" si="6"/>
        <v>0</v>
      </c>
      <c r="L12" s="112">
        <f t="shared" si="6"/>
        <v>0</v>
      </c>
      <c r="M12" s="109">
        <f>AVERAGE(M10:M11)</f>
        <v>0</v>
      </c>
      <c r="N12" s="110">
        <f t="shared" si="6"/>
        <v>0</v>
      </c>
      <c r="O12" s="111">
        <f t="shared" si="6"/>
        <v>0</v>
      </c>
      <c r="P12" s="111">
        <f t="shared" si="6"/>
        <v>0</v>
      </c>
      <c r="Q12" s="112">
        <f t="shared" si="6"/>
        <v>0</v>
      </c>
      <c r="R12" s="109">
        <f>AVERAGE(R10:R11)</f>
        <v>0</v>
      </c>
      <c r="S12" s="110">
        <f t="shared" si="6"/>
        <v>0</v>
      </c>
      <c r="T12" s="111">
        <f t="shared" si="6"/>
        <v>0</v>
      </c>
      <c r="U12" s="111">
        <f t="shared" si="6"/>
        <v>0</v>
      </c>
      <c r="V12" s="112">
        <f t="shared" si="6"/>
        <v>0</v>
      </c>
      <c r="W12" s="109">
        <f>AVERAGE(W10:W11)</f>
        <v>0</v>
      </c>
      <c r="X12" s="110">
        <f t="shared" si="6"/>
        <v>0</v>
      </c>
      <c r="Y12" s="111">
        <f t="shared" si="6"/>
        <v>0</v>
      </c>
      <c r="Z12" s="111">
        <f t="shared" si="6"/>
        <v>0</v>
      </c>
      <c r="AA12" s="112">
        <f t="shared" si="6"/>
        <v>0</v>
      </c>
      <c r="AB12" s="109">
        <f>AVERAGE(AB10:AB11)</f>
        <v>0</v>
      </c>
      <c r="AC12" s="110">
        <f t="shared" si="6"/>
        <v>0</v>
      </c>
      <c r="AD12" s="111">
        <f t="shared" si="6"/>
        <v>0</v>
      </c>
      <c r="AE12" s="111">
        <f t="shared" si="6"/>
        <v>0</v>
      </c>
      <c r="AF12" s="112">
        <f t="shared" si="6"/>
        <v>0</v>
      </c>
      <c r="AG12" s="109">
        <f>AVERAGE(AG10:AG11)</f>
        <v>0</v>
      </c>
      <c r="AH12" s="157"/>
      <c r="AI12" s="178"/>
      <c r="AJ12" s="178"/>
      <c r="AK12" s="178"/>
      <c r="AL12" s="178"/>
      <c r="AM12" s="178"/>
      <c r="AN12" s="178"/>
      <c r="AO12" s="178"/>
      <c r="AP12" s="178"/>
      <c r="AQ12" s="178"/>
      <c r="AR12" s="178"/>
      <c r="AS12" s="178"/>
      <c r="AT12" s="178"/>
      <c r="AU12" s="178"/>
      <c r="AV12" s="178"/>
      <c r="AW12" s="178"/>
      <c r="AX12" s="178"/>
      <c r="AY12" s="178"/>
      <c r="AZ12" s="178"/>
      <c r="BA12" s="178"/>
      <c r="BB12" s="178"/>
      <c r="BC12" s="178"/>
      <c r="BD12" s="178"/>
      <c r="BE12" s="178"/>
      <c r="BF12" s="178"/>
      <c r="BG12" s="178"/>
      <c r="BH12" s="178"/>
    </row>
    <row r="13" spans="1:60" ht="17" x14ac:dyDescent="0.2">
      <c r="A13" s="152"/>
      <c r="B13" s="94" t="s">
        <v>111</v>
      </c>
      <c r="C13" s="243">
        <f>'Front Sheet'!D47</f>
        <v>0</v>
      </c>
      <c r="D13" s="253">
        <f>'Y1 R1'!N12</f>
        <v>0</v>
      </c>
      <c r="E13" s="107">
        <f>'Y1 R2'!N12</f>
        <v>0</v>
      </c>
      <c r="F13" s="107">
        <f>'Y1 R3'!N12</f>
        <v>0</v>
      </c>
      <c r="G13" s="254">
        <f>'Y1 R4'!N12</f>
        <v>0</v>
      </c>
      <c r="H13" s="105">
        <f t="shared" si="0"/>
        <v>0</v>
      </c>
      <c r="I13" s="106">
        <f>'Y2 R1'!N12</f>
        <v>0</v>
      </c>
      <c r="J13" s="107">
        <f>'Y2 R2'!N12</f>
        <v>0</v>
      </c>
      <c r="K13" s="107">
        <f>'Y2 R3'!N12</f>
        <v>0</v>
      </c>
      <c r="L13" s="108">
        <f>'Y2 R4'!N12</f>
        <v>0</v>
      </c>
      <c r="M13" s="105">
        <f t="shared" si="1"/>
        <v>0</v>
      </c>
      <c r="N13" s="106">
        <f>'Y3 R1'!N12</f>
        <v>0</v>
      </c>
      <c r="O13" s="107">
        <f>'Y3 R2'!N12</f>
        <v>0</v>
      </c>
      <c r="P13" s="107">
        <f>'Y3 R3'!N12</f>
        <v>0</v>
      </c>
      <c r="Q13" s="108">
        <f>'Y3 R4'!N12</f>
        <v>0</v>
      </c>
      <c r="R13" s="105">
        <f t="shared" si="2"/>
        <v>0</v>
      </c>
      <c r="S13" s="106">
        <f>'Y4 R1'!N12</f>
        <v>0</v>
      </c>
      <c r="T13" s="107">
        <f>'Y4 R2'!N12</f>
        <v>0</v>
      </c>
      <c r="U13" s="107">
        <f>'Y4 R3'!N12</f>
        <v>0</v>
      </c>
      <c r="V13" s="108">
        <f>'Y4 R4'!N12</f>
        <v>0</v>
      </c>
      <c r="W13" s="105">
        <f t="shared" si="3"/>
        <v>0</v>
      </c>
      <c r="X13" s="106">
        <f>'Y5 R1'!N12</f>
        <v>0</v>
      </c>
      <c r="Y13" s="107">
        <f>'Y5 R2'!N12</f>
        <v>0</v>
      </c>
      <c r="Z13" s="107">
        <f>'Y5 R3'!N12</f>
        <v>0</v>
      </c>
      <c r="AA13" s="108">
        <f>'Y5 R4'!N12</f>
        <v>0</v>
      </c>
      <c r="AB13" s="105">
        <f t="shared" si="4"/>
        <v>0</v>
      </c>
      <c r="AC13" s="106">
        <f>'Y6 R1'!N12</f>
        <v>0</v>
      </c>
      <c r="AD13" s="107">
        <f>'Y6 R2'!N12</f>
        <v>0</v>
      </c>
      <c r="AE13" s="107">
        <f>'Y6 R3'!N12</f>
        <v>0</v>
      </c>
      <c r="AF13" s="108">
        <f>'Y6 R4'!N12</f>
        <v>0</v>
      </c>
      <c r="AG13" s="105">
        <f t="shared" si="5"/>
        <v>0</v>
      </c>
      <c r="AH13" s="155"/>
    </row>
    <row r="14" spans="1:60" ht="17" x14ac:dyDescent="0.2">
      <c r="A14" s="152"/>
      <c r="B14" s="94" t="s">
        <v>112</v>
      </c>
      <c r="C14" s="243">
        <f>'Front Sheet'!D47</f>
        <v>0</v>
      </c>
      <c r="D14" s="253">
        <f>'Y1 R1'!N13</f>
        <v>0</v>
      </c>
      <c r="E14" s="107">
        <f>'Y1 R2'!N13</f>
        <v>0</v>
      </c>
      <c r="F14" s="107">
        <f>'Y1 R3'!N13</f>
        <v>0</v>
      </c>
      <c r="G14" s="254">
        <f>'Y1 R4'!N13</f>
        <v>0</v>
      </c>
      <c r="H14" s="105">
        <f t="shared" si="0"/>
        <v>0</v>
      </c>
      <c r="I14" s="106">
        <f>'Y2 R1'!N13</f>
        <v>0</v>
      </c>
      <c r="J14" s="107">
        <f>'Y2 R2'!N13</f>
        <v>0</v>
      </c>
      <c r="K14" s="107">
        <f>'Y2 R3'!N13</f>
        <v>0</v>
      </c>
      <c r="L14" s="108">
        <f>'Y2 R4'!N13</f>
        <v>0</v>
      </c>
      <c r="M14" s="105">
        <f t="shared" si="1"/>
        <v>0</v>
      </c>
      <c r="N14" s="106">
        <f>'Y3 R1'!N13</f>
        <v>0</v>
      </c>
      <c r="O14" s="107">
        <f>'Y3 R2'!N13</f>
        <v>0</v>
      </c>
      <c r="P14" s="107">
        <f>'Y3 R3'!N13</f>
        <v>0</v>
      </c>
      <c r="Q14" s="108">
        <f>'Y3 R4'!N13</f>
        <v>0</v>
      </c>
      <c r="R14" s="105">
        <f t="shared" si="2"/>
        <v>0</v>
      </c>
      <c r="S14" s="106">
        <f>'Y4 R1'!N13</f>
        <v>0</v>
      </c>
      <c r="T14" s="107">
        <f>'Y4 R2'!N13</f>
        <v>0</v>
      </c>
      <c r="U14" s="107">
        <f>'Y4 R3'!N13</f>
        <v>0</v>
      </c>
      <c r="V14" s="108">
        <f>'Y4 R4'!N13</f>
        <v>0</v>
      </c>
      <c r="W14" s="105">
        <f t="shared" si="3"/>
        <v>0</v>
      </c>
      <c r="X14" s="106">
        <f>'Y5 R1'!N13</f>
        <v>0</v>
      </c>
      <c r="Y14" s="107">
        <f>'Y5 R2'!N13</f>
        <v>0</v>
      </c>
      <c r="Z14" s="107">
        <f>'Y5 R3'!N13</f>
        <v>0</v>
      </c>
      <c r="AA14" s="108">
        <f>'Y5 R4'!N13</f>
        <v>0</v>
      </c>
      <c r="AB14" s="105">
        <f t="shared" si="4"/>
        <v>0</v>
      </c>
      <c r="AC14" s="106">
        <f>'Y6 R1'!N13</f>
        <v>0</v>
      </c>
      <c r="AD14" s="107">
        <f>'Y6 R2'!N13</f>
        <v>0</v>
      </c>
      <c r="AE14" s="107">
        <f>'Y6 R3'!N13</f>
        <v>0</v>
      </c>
      <c r="AF14" s="108">
        <f>'Y6 R4'!N13</f>
        <v>0</v>
      </c>
      <c r="AG14" s="105">
        <f t="shared" si="5"/>
        <v>0</v>
      </c>
      <c r="AH14" s="155"/>
    </row>
    <row r="15" spans="1:60" ht="17" x14ac:dyDescent="0.2">
      <c r="A15" s="152"/>
      <c r="B15" s="94" t="s">
        <v>113</v>
      </c>
      <c r="C15" s="243">
        <f>'Front Sheet'!D47</f>
        <v>0</v>
      </c>
      <c r="D15" s="253">
        <f>'Y1 R1'!N14</f>
        <v>0</v>
      </c>
      <c r="E15" s="107">
        <f>'Y1 R2'!N14</f>
        <v>0</v>
      </c>
      <c r="F15" s="107">
        <f>'Y1 R3'!N14</f>
        <v>0</v>
      </c>
      <c r="G15" s="254">
        <f>'Y1 R4'!N14</f>
        <v>0</v>
      </c>
      <c r="H15" s="105">
        <f t="shared" si="0"/>
        <v>0</v>
      </c>
      <c r="I15" s="106">
        <f>'Y2 R1'!N14</f>
        <v>0</v>
      </c>
      <c r="J15" s="107">
        <f>'Y2 R2'!N14</f>
        <v>0</v>
      </c>
      <c r="K15" s="107">
        <f>'Y2 R3'!N14</f>
        <v>0</v>
      </c>
      <c r="L15" s="108">
        <f>'Y2 R4'!N14</f>
        <v>0</v>
      </c>
      <c r="M15" s="105">
        <f t="shared" si="1"/>
        <v>0</v>
      </c>
      <c r="N15" s="106">
        <f>'Y3 R1'!N14</f>
        <v>0</v>
      </c>
      <c r="O15" s="107">
        <f>'Y3 R2'!N14</f>
        <v>0</v>
      </c>
      <c r="P15" s="107">
        <f>'Y3 R3'!N14</f>
        <v>0</v>
      </c>
      <c r="Q15" s="108">
        <f>'Y3 R4'!N14</f>
        <v>0</v>
      </c>
      <c r="R15" s="105">
        <f t="shared" si="2"/>
        <v>0</v>
      </c>
      <c r="S15" s="106">
        <f>'Y4 R1'!N14</f>
        <v>0</v>
      </c>
      <c r="T15" s="107">
        <f>'Y4 R2'!N14</f>
        <v>0</v>
      </c>
      <c r="U15" s="107">
        <f>'Y4 R3'!N14</f>
        <v>0</v>
      </c>
      <c r="V15" s="108">
        <f>'Y4 R4'!N14</f>
        <v>0</v>
      </c>
      <c r="W15" s="105">
        <f t="shared" si="3"/>
        <v>0</v>
      </c>
      <c r="X15" s="106">
        <f>'Y5 R1'!N14</f>
        <v>0</v>
      </c>
      <c r="Y15" s="107">
        <f>'Y5 R2'!N14</f>
        <v>0</v>
      </c>
      <c r="Z15" s="107">
        <f>'Y5 R3'!N14</f>
        <v>0</v>
      </c>
      <c r="AA15" s="108">
        <f>'Y5 R4'!N14</f>
        <v>0</v>
      </c>
      <c r="AB15" s="105">
        <f t="shared" si="4"/>
        <v>0</v>
      </c>
      <c r="AC15" s="106">
        <f>'Y6 R1'!N14</f>
        <v>0</v>
      </c>
      <c r="AD15" s="107">
        <f>'Y6 R2'!N14</f>
        <v>0</v>
      </c>
      <c r="AE15" s="107">
        <f>'Y6 R3'!N14</f>
        <v>0</v>
      </c>
      <c r="AF15" s="108">
        <f>'Y6 R4'!N14</f>
        <v>0</v>
      </c>
      <c r="AG15" s="105">
        <f t="shared" si="5"/>
        <v>0</v>
      </c>
      <c r="AH15" s="155"/>
    </row>
    <row r="16" spans="1:60" s="73" customFormat="1" ht="17" x14ac:dyDescent="0.2">
      <c r="A16" s="156"/>
      <c r="B16" s="94" t="s">
        <v>220</v>
      </c>
      <c r="C16" s="244">
        <f>AVERAGE(C13:C15)</f>
        <v>0</v>
      </c>
      <c r="D16" s="255">
        <f t="shared" ref="D16:AF16" si="8">AVERAGE(D13:D15)</f>
        <v>0</v>
      </c>
      <c r="E16" s="111">
        <f t="shared" si="8"/>
        <v>0</v>
      </c>
      <c r="F16" s="111">
        <f t="shared" ref="F16:G16" si="9">AVERAGE(F13:F15)</f>
        <v>0</v>
      </c>
      <c r="G16" s="256">
        <f t="shared" si="9"/>
        <v>0</v>
      </c>
      <c r="H16" s="109">
        <f>AVERAGE(H13:H15)</f>
        <v>0</v>
      </c>
      <c r="I16" s="110">
        <f t="shared" si="8"/>
        <v>0</v>
      </c>
      <c r="J16" s="111">
        <f t="shared" si="8"/>
        <v>0</v>
      </c>
      <c r="K16" s="111">
        <f t="shared" si="8"/>
        <v>0</v>
      </c>
      <c r="L16" s="112">
        <f t="shared" si="8"/>
        <v>0</v>
      </c>
      <c r="M16" s="109">
        <f>AVERAGE(M13:M15)</f>
        <v>0</v>
      </c>
      <c r="N16" s="110">
        <f t="shared" si="8"/>
        <v>0</v>
      </c>
      <c r="O16" s="111">
        <f t="shared" si="8"/>
        <v>0</v>
      </c>
      <c r="P16" s="111">
        <f t="shared" si="8"/>
        <v>0</v>
      </c>
      <c r="Q16" s="112">
        <f t="shared" si="8"/>
        <v>0</v>
      </c>
      <c r="R16" s="109">
        <f>AVERAGE(R13:R15)</f>
        <v>0</v>
      </c>
      <c r="S16" s="110">
        <f t="shared" si="8"/>
        <v>0</v>
      </c>
      <c r="T16" s="111">
        <f t="shared" si="8"/>
        <v>0</v>
      </c>
      <c r="U16" s="111">
        <f t="shared" si="8"/>
        <v>0</v>
      </c>
      <c r="V16" s="112">
        <f t="shared" si="8"/>
        <v>0</v>
      </c>
      <c r="W16" s="109">
        <f>AVERAGE(W13:W15)</f>
        <v>0</v>
      </c>
      <c r="X16" s="110">
        <f t="shared" si="8"/>
        <v>0</v>
      </c>
      <c r="Y16" s="111">
        <f t="shared" si="8"/>
        <v>0</v>
      </c>
      <c r="Z16" s="111">
        <f t="shared" si="8"/>
        <v>0</v>
      </c>
      <c r="AA16" s="112">
        <f t="shared" si="8"/>
        <v>0</v>
      </c>
      <c r="AB16" s="109">
        <f>AVERAGE(AB13:AB15)</f>
        <v>0</v>
      </c>
      <c r="AC16" s="110">
        <f t="shared" si="8"/>
        <v>0</v>
      </c>
      <c r="AD16" s="111">
        <f t="shared" si="8"/>
        <v>0</v>
      </c>
      <c r="AE16" s="111">
        <f t="shared" si="8"/>
        <v>0</v>
      </c>
      <c r="AF16" s="112">
        <f t="shared" si="8"/>
        <v>0</v>
      </c>
      <c r="AG16" s="109">
        <f>AVERAGE(AG13:AG15)</f>
        <v>0</v>
      </c>
      <c r="AH16" s="157"/>
      <c r="AI16" s="178"/>
      <c r="AJ16" s="178"/>
      <c r="AK16" s="178"/>
      <c r="AL16" s="178"/>
      <c r="AM16" s="178"/>
      <c r="AN16" s="178"/>
      <c r="AO16" s="178"/>
      <c r="AP16" s="178"/>
      <c r="AQ16" s="178"/>
      <c r="AR16" s="178"/>
      <c r="AS16" s="178"/>
      <c r="AT16" s="178"/>
      <c r="AU16" s="178"/>
      <c r="AV16" s="178"/>
      <c r="AW16" s="178"/>
      <c r="AX16" s="178"/>
      <c r="AY16" s="178"/>
      <c r="AZ16" s="178"/>
      <c r="BA16" s="178"/>
      <c r="BB16" s="178"/>
      <c r="BC16" s="178"/>
      <c r="BD16" s="178"/>
      <c r="BE16" s="178"/>
      <c r="BF16" s="178"/>
      <c r="BG16" s="178"/>
      <c r="BH16" s="178"/>
    </row>
    <row r="17" spans="1:60" ht="17" x14ac:dyDescent="0.2">
      <c r="A17" s="152"/>
      <c r="B17" s="94" t="s">
        <v>114</v>
      </c>
      <c r="C17" s="243">
        <f>'Front Sheet'!E47</f>
        <v>0</v>
      </c>
      <c r="D17" s="253">
        <f>'Y1 R1'!N15</f>
        <v>0</v>
      </c>
      <c r="E17" s="107">
        <f>'Y1 R2'!N15</f>
        <v>0</v>
      </c>
      <c r="F17" s="107">
        <f>'Y1 R3'!N15</f>
        <v>0</v>
      </c>
      <c r="G17" s="254">
        <f>'Y1 R4'!N15</f>
        <v>0</v>
      </c>
      <c r="H17" s="105">
        <f t="shared" si="0"/>
        <v>0</v>
      </c>
      <c r="I17" s="106">
        <f>'Y2 R1'!N15</f>
        <v>0</v>
      </c>
      <c r="J17" s="107">
        <f>'Y2 R2'!N15</f>
        <v>0</v>
      </c>
      <c r="K17" s="107">
        <f>'Y2 R3'!N15</f>
        <v>0</v>
      </c>
      <c r="L17" s="108">
        <f>'Y2 R4'!N15</f>
        <v>0</v>
      </c>
      <c r="M17" s="105">
        <f t="shared" si="1"/>
        <v>0</v>
      </c>
      <c r="N17" s="106">
        <f>'Y3 R1'!N15</f>
        <v>0</v>
      </c>
      <c r="O17" s="107">
        <f>'Y3 R2'!N15</f>
        <v>0</v>
      </c>
      <c r="P17" s="107">
        <f>'Y3 R3'!N15</f>
        <v>0</v>
      </c>
      <c r="Q17" s="108">
        <f>'Y3 R4'!N15</f>
        <v>0</v>
      </c>
      <c r="R17" s="105">
        <f t="shared" si="2"/>
        <v>0</v>
      </c>
      <c r="S17" s="106">
        <f>'Y4 R1'!N15</f>
        <v>0</v>
      </c>
      <c r="T17" s="107">
        <f>'Y4 R2'!N15</f>
        <v>0</v>
      </c>
      <c r="U17" s="107">
        <f>'Y4 R3'!N15</f>
        <v>0</v>
      </c>
      <c r="V17" s="108">
        <f>'Y4 R4'!N15</f>
        <v>0</v>
      </c>
      <c r="W17" s="105">
        <f t="shared" si="3"/>
        <v>0</v>
      </c>
      <c r="X17" s="106">
        <f>'Y5 R1'!N15</f>
        <v>0</v>
      </c>
      <c r="Y17" s="107">
        <f>'Y5 R2'!N15</f>
        <v>0</v>
      </c>
      <c r="Z17" s="107">
        <f>'Y5 R3'!N15</f>
        <v>0</v>
      </c>
      <c r="AA17" s="108">
        <f>'Y5 R4'!N15</f>
        <v>0</v>
      </c>
      <c r="AB17" s="105">
        <f t="shared" si="4"/>
        <v>0</v>
      </c>
      <c r="AC17" s="106">
        <f>'Y6 R1'!N15</f>
        <v>0</v>
      </c>
      <c r="AD17" s="107">
        <f>'Y6 R2'!N15</f>
        <v>0</v>
      </c>
      <c r="AE17" s="107">
        <f>'Y6 R3'!N15</f>
        <v>0</v>
      </c>
      <c r="AF17" s="108">
        <f>'Y6 R4'!N15</f>
        <v>0</v>
      </c>
      <c r="AG17" s="105">
        <f t="shared" si="5"/>
        <v>0</v>
      </c>
      <c r="AH17" s="155"/>
    </row>
    <row r="18" spans="1:60" ht="17" x14ac:dyDescent="0.2">
      <c r="A18" s="152"/>
      <c r="B18" s="94" t="s">
        <v>115</v>
      </c>
      <c r="C18" s="243">
        <f>'Front Sheet'!E47</f>
        <v>0</v>
      </c>
      <c r="D18" s="253">
        <f>'Y1 R1'!N16</f>
        <v>0</v>
      </c>
      <c r="E18" s="107">
        <f>'Y1 R2'!N16</f>
        <v>0</v>
      </c>
      <c r="F18" s="107">
        <f>'Y1 R3'!N16</f>
        <v>0</v>
      </c>
      <c r="G18" s="254">
        <f>'Y1 R4'!N16</f>
        <v>0</v>
      </c>
      <c r="H18" s="105">
        <f t="shared" si="0"/>
        <v>0</v>
      </c>
      <c r="I18" s="106">
        <f>'Y2 R1'!N16</f>
        <v>0</v>
      </c>
      <c r="J18" s="107">
        <f>'Y2 R2'!N16</f>
        <v>0</v>
      </c>
      <c r="K18" s="107">
        <f>'Y2 R3'!N16</f>
        <v>0</v>
      </c>
      <c r="L18" s="108">
        <f>'Y2 R4'!N16</f>
        <v>0</v>
      </c>
      <c r="M18" s="105">
        <f t="shared" si="1"/>
        <v>0</v>
      </c>
      <c r="N18" s="106">
        <f>'Y3 R1'!N16</f>
        <v>0</v>
      </c>
      <c r="O18" s="107">
        <f>'Y3 R2'!N16</f>
        <v>0</v>
      </c>
      <c r="P18" s="107">
        <f>'Y3 R3'!N16</f>
        <v>0</v>
      </c>
      <c r="Q18" s="108">
        <f>'Y3 R4'!N16</f>
        <v>0</v>
      </c>
      <c r="R18" s="105">
        <f t="shared" si="2"/>
        <v>0</v>
      </c>
      <c r="S18" s="106">
        <f>'Y4 R1'!N16</f>
        <v>0</v>
      </c>
      <c r="T18" s="107">
        <f>'Y4 R2'!N16</f>
        <v>0</v>
      </c>
      <c r="U18" s="107">
        <f>'Y4 R3'!N16</f>
        <v>0</v>
      </c>
      <c r="V18" s="108">
        <f>'Y4 R4'!N16</f>
        <v>0</v>
      </c>
      <c r="W18" s="105">
        <f t="shared" si="3"/>
        <v>0</v>
      </c>
      <c r="X18" s="106">
        <f>'Y5 R1'!N16</f>
        <v>0</v>
      </c>
      <c r="Y18" s="107">
        <f>'Y5 R2'!N16</f>
        <v>0</v>
      </c>
      <c r="Z18" s="107">
        <f>'Y5 R3'!N16</f>
        <v>0</v>
      </c>
      <c r="AA18" s="108">
        <f>'Y5 R4'!N16</f>
        <v>0</v>
      </c>
      <c r="AB18" s="105">
        <f t="shared" si="4"/>
        <v>0</v>
      </c>
      <c r="AC18" s="106">
        <f>'Y6 R1'!N16</f>
        <v>0</v>
      </c>
      <c r="AD18" s="107">
        <f>'Y6 R2'!N16</f>
        <v>0</v>
      </c>
      <c r="AE18" s="107">
        <f>'Y6 R3'!N16</f>
        <v>0</v>
      </c>
      <c r="AF18" s="108">
        <f>'Y6 R4'!N16</f>
        <v>0</v>
      </c>
      <c r="AG18" s="105">
        <f t="shared" si="5"/>
        <v>0</v>
      </c>
      <c r="AH18" s="155"/>
    </row>
    <row r="19" spans="1:60" ht="17" x14ac:dyDescent="0.2">
      <c r="A19" s="152"/>
      <c r="B19" s="94" t="s">
        <v>116</v>
      </c>
      <c r="C19" s="243">
        <f>'Front Sheet'!E47</f>
        <v>0</v>
      </c>
      <c r="D19" s="253">
        <f>'Y1 R1'!N17</f>
        <v>0</v>
      </c>
      <c r="E19" s="107">
        <f>'Y1 R2'!N17</f>
        <v>0</v>
      </c>
      <c r="F19" s="107">
        <f>'Y1 R3'!N17</f>
        <v>0</v>
      </c>
      <c r="G19" s="254">
        <f>'Y1 R4'!N17</f>
        <v>0</v>
      </c>
      <c r="H19" s="105">
        <f t="shared" si="0"/>
        <v>0</v>
      </c>
      <c r="I19" s="106">
        <f>'Y2 R1'!N17</f>
        <v>0</v>
      </c>
      <c r="J19" s="107">
        <f>'Y2 R2'!N17</f>
        <v>0</v>
      </c>
      <c r="K19" s="107">
        <f>'Y2 R3'!N17</f>
        <v>0</v>
      </c>
      <c r="L19" s="108">
        <f>'Y2 R4'!N17</f>
        <v>0</v>
      </c>
      <c r="M19" s="105">
        <f t="shared" si="1"/>
        <v>0</v>
      </c>
      <c r="N19" s="106">
        <f>'Y3 R1'!N17</f>
        <v>0</v>
      </c>
      <c r="O19" s="107">
        <f>'Y3 R2'!N17</f>
        <v>0</v>
      </c>
      <c r="P19" s="107">
        <f>'Y3 R3'!N17</f>
        <v>0</v>
      </c>
      <c r="Q19" s="108">
        <f>'Y3 R4'!N17</f>
        <v>0</v>
      </c>
      <c r="R19" s="105">
        <f t="shared" si="2"/>
        <v>0</v>
      </c>
      <c r="S19" s="106">
        <f>'Y4 R1'!N17</f>
        <v>0</v>
      </c>
      <c r="T19" s="107">
        <f>'Y4 R2'!N17</f>
        <v>0</v>
      </c>
      <c r="U19" s="107">
        <f>'Y4 R3'!N17</f>
        <v>0</v>
      </c>
      <c r="V19" s="108">
        <f>'Y4 R4'!N17</f>
        <v>0</v>
      </c>
      <c r="W19" s="105">
        <f t="shared" si="3"/>
        <v>0</v>
      </c>
      <c r="X19" s="106">
        <f>'Y5 R1'!N17</f>
        <v>0</v>
      </c>
      <c r="Y19" s="107">
        <f>'Y5 R2'!N17</f>
        <v>0</v>
      </c>
      <c r="Z19" s="107">
        <f>'Y5 R3'!N17</f>
        <v>0</v>
      </c>
      <c r="AA19" s="108">
        <f>'Y5 R4'!N17</f>
        <v>0</v>
      </c>
      <c r="AB19" s="105">
        <f t="shared" si="4"/>
        <v>0</v>
      </c>
      <c r="AC19" s="106">
        <f>'Y6 R1'!N17</f>
        <v>0</v>
      </c>
      <c r="AD19" s="107">
        <f>'Y6 R2'!N17</f>
        <v>0</v>
      </c>
      <c r="AE19" s="107">
        <f>'Y6 R3'!N17</f>
        <v>0</v>
      </c>
      <c r="AF19" s="108">
        <f>'Y6 R4'!N17</f>
        <v>0</v>
      </c>
      <c r="AG19" s="105">
        <f t="shared" si="5"/>
        <v>0</v>
      </c>
      <c r="AH19" s="155"/>
    </row>
    <row r="20" spans="1:60" ht="17" x14ac:dyDescent="0.2">
      <c r="A20" s="152"/>
      <c r="B20" s="94" t="s">
        <v>117</v>
      </c>
      <c r="C20" s="243">
        <f>'Front Sheet'!E47</f>
        <v>0</v>
      </c>
      <c r="D20" s="253">
        <f>'Y1 R1'!N18</f>
        <v>0</v>
      </c>
      <c r="E20" s="107">
        <f>'Y1 R2'!N18</f>
        <v>0</v>
      </c>
      <c r="F20" s="107">
        <f>'Y1 R3'!N18</f>
        <v>0</v>
      </c>
      <c r="G20" s="254">
        <f>'Y1 R4'!N18</f>
        <v>0</v>
      </c>
      <c r="H20" s="105">
        <f t="shared" si="0"/>
        <v>0</v>
      </c>
      <c r="I20" s="106">
        <f>'Y2 R1'!N18</f>
        <v>0</v>
      </c>
      <c r="J20" s="107">
        <f>'Y2 R2'!N18</f>
        <v>0</v>
      </c>
      <c r="K20" s="107">
        <f>'Y2 R3'!N18</f>
        <v>0</v>
      </c>
      <c r="L20" s="108">
        <f>'Y2 R4'!N18</f>
        <v>0</v>
      </c>
      <c r="M20" s="105">
        <f t="shared" si="1"/>
        <v>0</v>
      </c>
      <c r="N20" s="106">
        <f>'Y3 R1'!N18</f>
        <v>0</v>
      </c>
      <c r="O20" s="107">
        <f>'Y3 R1'!N18</f>
        <v>0</v>
      </c>
      <c r="P20" s="107">
        <f>'Y3 R3'!N18</f>
        <v>0</v>
      </c>
      <c r="Q20" s="108">
        <f>'Y3 R4'!N18</f>
        <v>0</v>
      </c>
      <c r="R20" s="105">
        <f t="shared" si="2"/>
        <v>0</v>
      </c>
      <c r="S20" s="106">
        <f>'Y4 R1'!N18</f>
        <v>0</v>
      </c>
      <c r="T20" s="107">
        <f>'Y4 R2'!N18</f>
        <v>0</v>
      </c>
      <c r="U20" s="107">
        <f>'Y4 R3'!N18</f>
        <v>0</v>
      </c>
      <c r="V20" s="108">
        <f>'Y4 R4'!N18</f>
        <v>0</v>
      </c>
      <c r="W20" s="105">
        <f t="shared" si="3"/>
        <v>0</v>
      </c>
      <c r="X20" s="106">
        <f>'Y5 R1'!N18</f>
        <v>0</v>
      </c>
      <c r="Y20" s="107">
        <f>'Y5 R2'!N18</f>
        <v>0</v>
      </c>
      <c r="Z20" s="107">
        <f>'Y5 R3'!N18</f>
        <v>0</v>
      </c>
      <c r="AA20" s="108">
        <f>'Y5 R4'!N18</f>
        <v>0</v>
      </c>
      <c r="AB20" s="105">
        <f t="shared" si="4"/>
        <v>0</v>
      </c>
      <c r="AC20" s="106">
        <f>'Y6 R1'!N18</f>
        <v>0</v>
      </c>
      <c r="AD20" s="107">
        <f>'Y6 R2'!N18</f>
        <v>0</v>
      </c>
      <c r="AE20" s="107">
        <f>'Y6 R3'!N18</f>
        <v>0</v>
      </c>
      <c r="AF20" s="108">
        <f>'Y6 R4'!N18</f>
        <v>0</v>
      </c>
      <c r="AG20" s="105">
        <f t="shared" si="5"/>
        <v>0</v>
      </c>
      <c r="AH20" s="155"/>
    </row>
    <row r="21" spans="1:60" s="73" customFormat="1" ht="17" x14ac:dyDescent="0.2">
      <c r="A21" s="156"/>
      <c r="B21" s="94" t="s">
        <v>221</v>
      </c>
      <c r="C21" s="244">
        <f>AVERAGE(C17:C20)</f>
        <v>0</v>
      </c>
      <c r="D21" s="255">
        <f t="shared" ref="D21:AF21" si="10">AVERAGE(D17:D20)</f>
        <v>0</v>
      </c>
      <c r="E21" s="111">
        <f t="shared" si="10"/>
        <v>0</v>
      </c>
      <c r="F21" s="111">
        <f t="shared" ref="F21:G21" si="11">AVERAGE(F17:F20)</f>
        <v>0</v>
      </c>
      <c r="G21" s="256">
        <f t="shared" si="11"/>
        <v>0</v>
      </c>
      <c r="H21" s="109">
        <f>AVERAGE(H17:H20)</f>
        <v>0</v>
      </c>
      <c r="I21" s="110">
        <f t="shared" si="10"/>
        <v>0</v>
      </c>
      <c r="J21" s="111">
        <f t="shared" si="10"/>
        <v>0</v>
      </c>
      <c r="K21" s="111">
        <f t="shared" si="10"/>
        <v>0</v>
      </c>
      <c r="L21" s="112">
        <f t="shared" si="10"/>
        <v>0</v>
      </c>
      <c r="M21" s="109">
        <f>AVERAGE(M17:M20)</f>
        <v>0</v>
      </c>
      <c r="N21" s="110">
        <f t="shared" si="10"/>
        <v>0</v>
      </c>
      <c r="O21" s="111">
        <f t="shared" si="10"/>
        <v>0</v>
      </c>
      <c r="P21" s="111">
        <f t="shared" si="10"/>
        <v>0</v>
      </c>
      <c r="Q21" s="112">
        <f t="shared" si="10"/>
        <v>0</v>
      </c>
      <c r="R21" s="109">
        <f>AVERAGE(R17:R20)</f>
        <v>0</v>
      </c>
      <c r="S21" s="110">
        <f t="shared" si="10"/>
        <v>0</v>
      </c>
      <c r="T21" s="111">
        <f t="shared" si="10"/>
        <v>0</v>
      </c>
      <c r="U21" s="111">
        <f t="shared" si="10"/>
        <v>0</v>
      </c>
      <c r="V21" s="112">
        <f t="shared" si="10"/>
        <v>0</v>
      </c>
      <c r="W21" s="109">
        <f>AVERAGE(W17:W20)</f>
        <v>0</v>
      </c>
      <c r="X21" s="110">
        <f t="shared" si="10"/>
        <v>0</v>
      </c>
      <c r="Y21" s="111">
        <f t="shared" si="10"/>
        <v>0</v>
      </c>
      <c r="Z21" s="111">
        <f t="shared" si="10"/>
        <v>0</v>
      </c>
      <c r="AA21" s="112">
        <f t="shared" si="10"/>
        <v>0</v>
      </c>
      <c r="AB21" s="109">
        <f>AVERAGE(AB17:AB20)</f>
        <v>0</v>
      </c>
      <c r="AC21" s="110">
        <f t="shared" si="10"/>
        <v>0</v>
      </c>
      <c r="AD21" s="111">
        <f t="shared" si="10"/>
        <v>0</v>
      </c>
      <c r="AE21" s="111">
        <f t="shared" si="10"/>
        <v>0</v>
      </c>
      <c r="AF21" s="112">
        <f t="shared" si="10"/>
        <v>0</v>
      </c>
      <c r="AG21" s="109">
        <f>AVERAGE(AG17:AG20)</f>
        <v>0</v>
      </c>
      <c r="AH21" s="157"/>
      <c r="AI21" s="178"/>
      <c r="AJ21" s="178"/>
      <c r="AK21" s="178"/>
      <c r="AL21" s="178"/>
      <c r="AM21" s="178"/>
      <c r="AN21" s="178"/>
      <c r="AO21" s="178"/>
      <c r="AP21" s="178"/>
      <c r="AQ21" s="178"/>
      <c r="AR21" s="178"/>
      <c r="AS21" s="178"/>
      <c r="AT21" s="178"/>
      <c r="AU21" s="178"/>
      <c r="AV21" s="178"/>
      <c r="AW21" s="178"/>
      <c r="AX21" s="178"/>
      <c r="AY21" s="178"/>
      <c r="AZ21" s="178"/>
      <c r="BA21" s="178"/>
      <c r="BB21" s="178"/>
      <c r="BC21" s="178"/>
      <c r="BD21" s="178"/>
      <c r="BE21" s="178"/>
      <c r="BF21" s="178"/>
      <c r="BG21" s="178"/>
      <c r="BH21" s="178"/>
    </row>
    <row r="22" spans="1:60" ht="17" x14ac:dyDescent="0.2">
      <c r="A22" s="152"/>
      <c r="B22" s="94" t="s">
        <v>118</v>
      </c>
      <c r="C22" s="243">
        <f>'Front Sheet'!F47</f>
        <v>0</v>
      </c>
      <c r="D22" s="253">
        <f>'Y1 R1'!N19</f>
        <v>0</v>
      </c>
      <c r="E22" s="107">
        <f>'Y1 R2'!N19</f>
        <v>0</v>
      </c>
      <c r="F22" s="107">
        <f>'Y1 R3'!N19</f>
        <v>0</v>
      </c>
      <c r="G22" s="254">
        <f>'Y1 R4'!N19</f>
        <v>0</v>
      </c>
      <c r="H22" s="105">
        <f t="shared" si="0"/>
        <v>0</v>
      </c>
      <c r="I22" s="106">
        <f>'Y2 R1'!N19</f>
        <v>0</v>
      </c>
      <c r="J22" s="107">
        <f>'Y2 R2'!N19</f>
        <v>0</v>
      </c>
      <c r="K22" s="107">
        <f>'Y2 R3'!N19</f>
        <v>0</v>
      </c>
      <c r="L22" s="108">
        <f>'Y2 R4'!N19</f>
        <v>0</v>
      </c>
      <c r="M22" s="105">
        <f t="shared" si="1"/>
        <v>0</v>
      </c>
      <c r="N22" s="106">
        <f>'Y3 R1'!N19</f>
        <v>0</v>
      </c>
      <c r="O22" s="107">
        <f>'Y3 R2'!N19</f>
        <v>0</v>
      </c>
      <c r="P22" s="107">
        <f>'Y3 R3'!N19</f>
        <v>0</v>
      </c>
      <c r="Q22" s="108">
        <f>'Y3 R4'!N19</f>
        <v>0</v>
      </c>
      <c r="R22" s="105">
        <f t="shared" si="2"/>
        <v>0</v>
      </c>
      <c r="S22" s="106">
        <f>'Y4 R1'!N19</f>
        <v>0</v>
      </c>
      <c r="T22" s="107">
        <f>'Y4 R2'!N19</f>
        <v>0</v>
      </c>
      <c r="U22" s="107">
        <f>'Y4 R3'!N19</f>
        <v>0</v>
      </c>
      <c r="V22" s="108">
        <f>'Y4 R4'!N19</f>
        <v>0</v>
      </c>
      <c r="W22" s="105">
        <f t="shared" si="3"/>
        <v>0</v>
      </c>
      <c r="X22" s="106">
        <f>'Y5 R1'!N19</f>
        <v>0</v>
      </c>
      <c r="Y22" s="107">
        <f>'Y5 R2'!N19</f>
        <v>0</v>
      </c>
      <c r="Z22" s="107">
        <f>'Y5 R3'!N19</f>
        <v>0</v>
      </c>
      <c r="AA22" s="108">
        <f>'Y5 R4'!N19</f>
        <v>0</v>
      </c>
      <c r="AB22" s="105">
        <f t="shared" si="4"/>
        <v>0</v>
      </c>
      <c r="AC22" s="106">
        <f>'Y6 R1'!N19</f>
        <v>0</v>
      </c>
      <c r="AD22" s="107">
        <f>'Y6 R2'!N19</f>
        <v>0</v>
      </c>
      <c r="AE22" s="107">
        <f>'Y6 R3'!N19</f>
        <v>0</v>
      </c>
      <c r="AF22" s="108">
        <f>'Y6 R4'!N19</f>
        <v>0</v>
      </c>
      <c r="AG22" s="105">
        <f t="shared" si="5"/>
        <v>0</v>
      </c>
      <c r="AH22" s="155"/>
    </row>
    <row r="23" spans="1:60" ht="17" x14ac:dyDescent="0.2">
      <c r="A23" s="152"/>
      <c r="B23" s="94" t="s">
        <v>119</v>
      </c>
      <c r="C23" s="243">
        <f>'Front Sheet'!F47</f>
        <v>0</v>
      </c>
      <c r="D23" s="253">
        <f>'Y1 R1'!N20</f>
        <v>0</v>
      </c>
      <c r="E23" s="107">
        <f>'Y1 R2'!N20</f>
        <v>0</v>
      </c>
      <c r="F23" s="107">
        <f>'Y1 R3'!N20</f>
        <v>0</v>
      </c>
      <c r="G23" s="254">
        <f>'Y1 R4'!N20</f>
        <v>0</v>
      </c>
      <c r="H23" s="105">
        <f t="shared" si="0"/>
        <v>0</v>
      </c>
      <c r="I23" s="106">
        <f>'Y2 R1'!N20</f>
        <v>0</v>
      </c>
      <c r="J23" s="107">
        <f>'Y2 R2'!N20</f>
        <v>0</v>
      </c>
      <c r="K23" s="107">
        <f>'Y2 R3'!N20</f>
        <v>0</v>
      </c>
      <c r="L23" s="108">
        <f>'Y2 R4'!N20</f>
        <v>0</v>
      </c>
      <c r="M23" s="105">
        <f t="shared" si="1"/>
        <v>0</v>
      </c>
      <c r="N23" s="106">
        <f>'Y3 R1'!N20</f>
        <v>0</v>
      </c>
      <c r="O23" s="107">
        <f>'Y3 R1'!N20</f>
        <v>0</v>
      </c>
      <c r="P23" s="107">
        <f>'Y3 R3'!N20</f>
        <v>0</v>
      </c>
      <c r="Q23" s="108">
        <f>'Y3 R4'!N20</f>
        <v>0</v>
      </c>
      <c r="R23" s="105">
        <f t="shared" si="2"/>
        <v>0</v>
      </c>
      <c r="S23" s="106">
        <f>'Y4 R1'!N20</f>
        <v>0</v>
      </c>
      <c r="T23" s="107">
        <f>'Y4 R2'!N20</f>
        <v>0</v>
      </c>
      <c r="U23" s="107">
        <f>'Y4 R3'!N20</f>
        <v>0</v>
      </c>
      <c r="V23" s="108">
        <f>'Y4 R4'!N20</f>
        <v>0</v>
      </c>
      <c r="W23" s="105">
        <f t="shared" si="3"/>
        <v>0</v>
      </c>
      <c r="X23" s="106">
        <f>'Y5 R1'!N20</f>
        <v>0</v>
      </c>
      <c r="Y23" s="107">
        <f>'Y5 R2'!N20</f>
        <v>0</v>
      </c>
      <c r="Z23" s="107">
        <f>'Y5 R3'!N20</f>
        <v>0</v>
      </c>
      <c r="AA23" s="108">
        <f>'Y5 R4'!N20</f>
        <v>0</v>
      </c>
      <c r="AB23" s="105">
        <f t="shared" si="4"/>
        <v>0</v>
      </c>
      <c r="AC23" s="106">
        <f>'Y6 R1'!N20</f>
        <v>0</v>
      </c>
      <c r="AD23" s="107">
        <f>'Y6 R2'!N20</f>
        <v>0</v>
      </c>
      <c r="AE23" s="107">
        <f>'Y6 R3'!N20</f>
        <v>0</v>
      </c>
      <c r="AF23" s="108">
        <f>'Y6 R4'!N20</f>
        <v>0</v>
      </c>
      <c r="AG23" s="105">
        <f t="shared" si="5"/>
        <v>0</v>
      </c>
      <c r="AH23" s="155"/>
    </row>
    <row r="24" spans="1:60" ht="17" x14ac:dyDescent="0.2">
      <c r="A24" s="152"/>
      <c r="B24" s="94" t="s">
        <v>120</v>
      </c>
      <c r="C24" s="243">
        <f>'Front Sheet'!F47</f>
        <v>0</v>
      </c>
      <c r="D24" s="253">
        <f>'Y1 R1'!N21</f>
        <v>0</v>
      </c>
      <c r="E24" s="107">
        <f>'Y1 R2'!N21</f>
        <v>0</v>
      </c>
      <c r="F24" s="107">
        <f>'Y1 R3'!N21</f>
        <v>0</v>
      </c>
      <c r="G24" s="254">
        <f>'Y1 R4'!N21</f>
        <v>0</v>
      </c>
      <c r="H24" s="105">
        <f t="shared" si="0"/>
        <v>0</v>
      </c>
      <c r="I24" s="106">
        <f>'Y2 R1'!N21</f>
        <v>0</v>
      </c>
      <c r="J24" s="107">
        <f>'Y2 R2'!N21</f>
        <v>0</v>
      </c>
      <c r="K24" s="107">
        <f>'Y2 R3'!N21</f>
        <v>0</v>
      </c>
      <c r="L24" s="108">
        <f>'Y2 R4'!N21</f>
        <v>0</v>
      </c>
      <c r="M24" s="105">
        <f t="shared" si="1"/>
        <v>0</v>
      </c>
      <c r="N24" s="106">
        <f>'Y3 R1'!N21</f>
        <v>0</v>
      </c>
      <c r="O24" s="107">
        <f>'Y3 R2'!N21</f>
        <v>0</v>
      </c>
      <c r="P24" s="107">
        <f>'Y3 R3'!N21</f>
        <v>0</v>
      </c>
      <c r="Q24" s="108">
        <f>'Y3 R4'!N21</f>
        <v>0</v>
      </c>
      <c r="R24" s="105">
        <f t="shared" si="2"/>
        <v>0</v>
      </c>
      <c r="S24" s="106">
        <f>'Y4 R1'!N21</f>
        <v>0</v>
      </c>
      <c r="T24" s="107">
        <f>'Y4 R2'!N21</f>
        <v>0</v>
      </c>
      <c r="U24" s="107">
        <f>'Y4 R3'!N21</f>
        <v>0</v>
      </c>
      <c r="V24" s="108">
        <f>'Y4 R4'!N21</f>
        <v>0</v>
      </c>
      <c r="W24" s="105">
        <f t="shared" si="3"/>
        <v>0</v>
      </c>
      <c r="X24" s="106">
        <f>'Y5 R1'!N21</f>
        <v>0</v>
      </c>
      <c r="Y24" s="107">
        <f>'Y5 R2'!N21</f>
        <v>0</v>
      </c>
      <c r="Z24" s="107">
        <f>'Y5 R3'!N21</f>
        <v>0</v>
      </c>
      <c r="AA24" s="108">
        <f>'Y5 R4'!N21</f>
        <v>0</v>
      </c>
      <c r="AB24" s="105">
        <f t="shared" si="4"/>
        <v>0</v>
      </c>
      <c r="AC24" s="106">
        <f>'Y6 R1'!N21</f>
        <v>0</v>
      </c>
      <c r="AD24" s="107">
        <f>'Y6 R2'!N21</f>
        <v>0</v>
      </c>
      <c r="AE24" s="107">
        <f>'Y6 R3'!N21</f>
        <v>0</v>
      </c>
      <c r="AF24" s="108">
        <f>'Y6 R4'!N21</f>
        <v>0</v>
      </c>
      <c r="AG24" s="105">
        <f t="shared" si="5"/>
        <v>0</v>
      </c>
      <c r="AH24" s="155"/>
    </row>
    <row r="25" spans="1:60" s="73" customFormat="1" ht="17" x14ac:dyDescent="0.2">
      <c r="A25" s="156"/>
      <c r="B25" s="94" t="s">
        <v>222</v>
      </c>
      <c r="C25" s="244">
        <f>AVERAGE(C22:C24)</f>
        <v>0</v>
      </c>
      <c r="D25" s="255">
        <f>AVERAGE(D22:D24)</f>
        <v>0</v>
      </c>
      <c r="E25" s="111">
        <f t="shared" ref="E25:AF25" si="12">AVERAGE(E22:E24)</f>
        <v>0</v>
      </c>
      <c r="F25" s="111">
        <f t="shared" ref="F25:G25" si="13">AVERAGE(F22:F24)</f>
        <v>0</v>
      </c>
      <c r="G25" s="256">
        <f t="shared" si="13"/>
        <v>0</v>
      </c>
      <c r="H25" s="109">
        <f>AVERAGE(H22:H24)</f>
        <v>0</v>
      </c>
      <c r="I25" s="110">
        <f t="shared" si="12"/>
        <v>0</v>
      </c>
      <c r="J25" s="111">
        <f t="shared" si="12"/>
        <v>0</v>
      </c>
      <c r="K25" s="111">
        <f t="shared" si="12"/>
        <v>0</v>
      </c>
      <c r="L25" s="112">
        <f t="shared" si="12"/>
        <v>0</v>
      </c>
      <c r="M25" s="109">
        <f>AVERAGE(M22:M24)</f>
        <v>0</v>
      </c>
      <c r="N25" s="110">
        <f t="shared" si="12"/>
        <v>0</v>
      </c>
      <c r="O25" s="111">
        <f t="shared" si="12"/>
        <v>0</v>
      </c>
      <c r="P25" s="111">
        <f t="shared" si="12"/>
        <v>0</v>
      </c>
      <c r="Q25" s="112">
        <f t="shared" si="12"/>
        <v>0</v>
      </c>
      <c r="R25" s="109">
        <f>AVERAGE(R22:R24)</f>
        <v>0</v>
      </c>
      <c r="S25" s="110">
        <f t="shared" si="12"/>
        <v>0</v>
      </c>
      <c r="T25" s="111">
        <f t="shared" si="12"/>
        <v>0</v>
      </c>
      <c r="U25" s="111">
        <f t="shared" si="12"/>
        <v>0</v>
      </c>
      <c r="V25" s="112">
        <f t="shared" si="12"/>
        <v>0</v>
      </c>
      <c r="W25" s="109">
        <f>AVERAGE(W22:W24)</f>
        <v>0</v>
      </c>
      <c r="X25" s="110">
        <f t="shared" si="12"/>
        <v>0</v>
      </c>
      <c r="Y25" s="111">
        <f t="shared" si="12"/>
        <v>0</v>
      </c>
      <c r="Z25" s="111">
        <f t="shared" si="12"/>
        <v>0</v>
      </c>
      <c r="AA25" s="112">
        <f t="shared" si="12"/>
        <v>0</v>
      </c>
      <c r="AB25" s="109">
        <f>AVERAGE(AB22:AB24)</f>
        <v>0</v>
      </c>
      <c r="AC25" s="110">
        <f t="shared" si="12"/>
        <v>0</v>
      </c>
      <c r="AD25" s="111">
        <f t="shared" si="12"/>
        <v>0</v>
      </c>
      <c r="AE25" s="111">
        <f t="shared" si="12"/>
        <v>0</v>
      </c>
      <c r="AF25" s="112">
        <f t="shared" si="12"/>
        <v>0</v>
      </c>
      <c r="AG25" s="109">
        <f>AVERAGE(AG22:AG24)</f>
        <v>0</v>
      </c>
      <c r="AH25" s="157"/>
      <c r="AI25" s="178"/>
      <c r="AJ25" s="178"/>
      <c r="AK25" s="178"/>
      <c r="AL25" s="178"/>
      <c r="AM25" s="178"/>
      <c r="AN25" s="178"/>
      <c r="AO25" s="178"/>
      <c r="AP25" s="178"/>
      <c r="AQ25" s="178"/>
      <c r="AR25" s="178"/>
      <c r="AS25" s="178"/>
      <c r="AT25" s="178"/>
      <c r="AU25" s="178"/>
      <c r="AV25" s="178"/>
      <c r="AW25" s="178"/>
      <c r="AX25" s="178"/>
      <c r="AY25" s="178"/>
      <c r="AZ25" s="178"/>
      <c r="BA25" s="178"/>
      <c r="BB25" s="178"/>
      <c r="BC25" s="178"/>
      <c r="BD25" s="178"/>
      <c r="BE25" s="178"/>
      <c r="BF25" s="178"/>
      <c r="BG25" s="178"/>
      <c r="BH25" s="178"/>
    </row>
    <row r="26" spans="1:60" ht="17" x14ac:dyDescent="0.2">
      <c r="A26" s="152"/>
      <c r="B26" s="94" t="s">
        <v>121</v>
      </c>
      <c r="C26" s="243">
        <f>'Front Sheet'!G47</f>
        <v>0</v>
      </c>
      <c r="D26" s="253">
        <f>'Y1 R1'!N22</f>
        <v>0</v>
      </c>
      <c r="E26" s="107">
        <f>'Y1 R2'!N22</f>
        <v>0</v>
      </c>
      <c r="F26" s="107">
        <f>'Y1 R3'!N22</f>
        <v>0</v>
      </c>
      <c r="G26" s="254">
        <f>'Y1 R4'!N22</f>
        <v>0</v>
      </c>
      <c r="H26" s="105">
        <f t="shared" si="0"/>
        <v>0</v>
      </c>
      <c r="I26" s="106">
        <f>'Y2 R1'!N10</f>
        <v>0</v>
      </c>
      <c r="J26" s="107">
        <f>'Y2 R2'!N22</f>
        <v>0</v>
      </c>
      <c r="K26" s="107">
        <f>'Y2 R3'!N22</f>
        <v>0</v>
      </c>
      <c r="L26" s="108">
        <f>'Y2 R4'!N22</f>
        <v>0</v>
      </c>
      <c r="M26" s="105">
        <f t="shared" si="1"/>
        <v>0</v>
      </c>
      <c r="N26" s="106">
        <f>'Y3 R1'!N22</f>
        <v>0</v>
      </c>
      <c r="O26" s="107">
        <f>'Y3 R2'!N22</f>
        <v>0</v>
      </c>
      <c r="P26" s="107">
        <f>'Y3 R3'!N22</f>
        <v>0</v>
      </c>
      <c r="Q26" s="108">
        <f>'Y3 R4'!N22</f>
        <v>0</v>
      </c>
      <c r="R26" s="105">
        <f t="shared" si="2"/>
        <v>0</v>
      </c>
      <c r="S26" s="106">
        <f>'Y4 R1'!N22</f>
        <v>0</v>
      </c>
      <c r="T26" s="107">
        <f>'Y4 R2'!N22</f>
        <v>0</v>
      </c>
      <c r="U26" s="107">
        <f>'Y4 R3'!N22</f>
        <v>0</v>
      </c>
      <c r="V26" s="108">
        <f>'Y4 R4'!N22</f>
        <v>0</v>
      </c>
      <c r="W26" s="105">
        <f t="shared" si="3"/>
        <v>0</v>
      </c>
      <c r="X26" s="106">
        <f>'Y5 R1'!N22</f>
        <v>0</v>
      </c>
      <c r="Y26" s="107">
        <f>'Y5 R2'!N22</f>
        <v>0</v>
      </c>
      <c r="Z26" s="107">
        <f>'Y5 R3'!N22</f>
        <v>0</v>
      </c>
      <c r="AA26" s="108">
        <f>'Y5 R4'!N22</f>
        <v>0</v>
      </c>
      <c r="AB26" s="105">
        <f t="shared" si="4"/>
        <v>0</v>
      </c>
      <c r="AC26" s="106">
        <f>'Y6 R1'!N22</f>
        <v>0</v>
      </c>
      <c r="AD26" s="107">
        <f>'Y6 R2'!N22</f>
        <v>0</v>
      </c>
      <c r="AE26" s="107">
        <f>'Y6 R3'!N22</f>
        <v>0</v>
      </c>
      <c r="AF26" s="108">
        <f>'Y6 R4'!N22</f>
        <v>0</v>
      </c>
      <c r="AG26" s="105">
        <f t="shared" si="5"/>
        <v>0</v>
      </c>
      <c r="AH26" s="155"/>
    </row>
    <row r="27" spans="1:60" ht="17" x14ac:dyDescent="0.2">
      <c r="A27" s="152"/>
      <c r="B27" s="94" t="s">
        <v>122</v>
      </c>
      <c r="C27" s="243">
        <f>'Front Sheet'!G47</f>
        <v>0</v>
      </c>
      <c r="D27" s="253">
        <f>'Y1 R1'!N23</f>
        <v>0</v>
      </c>
      <c r="E27" s="107">
        <f>'Y1 R2'!N23</f>
        <v>0</v>
      </c>
      <c r="F27" s="107">
        <f>'Y1 R3'!N23</f>
        <v>0</v>
      </c>
      <c r="G27" s="254">
        <f>'Y1 R4'!N23</f>
        <v>0</v>
      </c>
      <c r="H27" s="105">
        <f t="shared" si="0"/>
        <v>0</v>
      </c>
      <c r="I27" s="106">
        <f>'Y2 R1'!N11</f>
        <v>0</v>
      </c>
      <c r="J27" s="107">
        <f>'Y2 R2'!N23</f>
        <v>0</v>
      </c>
      <c r="K27" s="107">
        <f>'Y2 R3'!N23</f>
        <v>0</v>
      </c>
      <c r="L27" s="108">
        <f>'Y2 R4'!N23</f>
        <v>0</v>
      </c>
      <c r="M27" s="105">
        <f t="shared" si="1"/>
        <v>0</v>
      </c>
      <c r="N27" s="106">
        <f>'Y3 R1'!N23</f>
        <v>0</v>
      </c>
      <c r="O27" s="107">
        <f>'Y3 R2'!N23</f>
        <v>0</v>
      </c>
      <c r="P27" s="107">
        <f>'Y3 R3'!N23</f>
        <v>0</v>
      </c>
      <c r="Q27" s="108">
        <f>'Y3 R4'!N23</f>
        <v>0</v>
      </c>
      <c r="R27" s="105">
        <f t="shared" si="2"/>
        <v>0</v>
      </c>
      <c r="S27" s="106">
        <f>'Y4 R1'!N23</f>
        <v>0</v>
      </c>
      <c r="T27" s="107">
        <f>'Y4 R2'!N23</f>
        <v>0</v>
      </c>
      <c r="U27" s="107">
        <f>'Y4 R3'!N23</f>
        <v>0</v>
      </c>
      <c r="V27" s="108">
        <f>'Y4 R4'!N23</f>
        <v>0</v>
      </c>
      <c r="W27" s="105">
        <f t="shared" si="3"/>
        <v>0</v>
      </c>
      <c r="X27" s="106">
        <f>'Y5 R1'!N23</f>
        <v>0</v>
      </c>
      <c r="Y27" s="107">
        <f>'Y5 R2'!N23</f>
        <v>0</v>
      </c>
      <c r="Z27" s="107">
        <f>'Y5 R3'!N23</f>
        <v>0</v>
      </c>
      <c r="AA27" s="108">
        <f>'Y5 R4'!N23</f>
        <v>0</v>
      </c>
      <c r="AB27" s="105">
        <f t="shared" si="4"/>
        <v>0</v>
      </c>
      <c r="AC27" s="106">
        <f>'Y6 R1'!N23</f>
        <v>0</v>
      </c>
      <c r="AD27" s="107">
        <f>'Y6 R2'!N23</f>
        <v>0</v>
      </c>
      <c r="AE27" s="107">
        <f>'Y6 R3'!N23</f>
        <v>0</v>
      </c>
      <c r="AF27" s="108">
        <f>'Y6 R4'!N23</f>
        <v>0</v>
      </c>
      <c r="AG27" s="105">
        <f t="shared" si="5"/>
        <v>0</v>
      </c>
      <c r="AH27" s="155"/>
    </row>
    <row r="28" spans="1:60" ht="17" x14ac:dyDescent="0.2">
      <c r="A28" s="152"/>
      <c r="B28" s="94" t="s">
        <v>123</v>
      </c>
      <c r="C28" s="243">
        <f>'Front Sheet'!G47</f>
        <v>0</v>
      </c>
      <c r="D28" s="253">
        <f>'Y1 R1'!N24</f>
        <v>0</v>
      </c>
      <c r="E28" s="107">
        <f>'Y1 R2'!N24</f>
        <v>0</v>
      </c>
      <c r="F28" s="107">
        <f>'Y1 R3'!N24</f>
        <v>0</v>
      </c>
      <c r="G28" s="254">
        <f>'Y1 R4'!N24</f>
        <v>0</v>
      </c>
      <c r="H28" s="105">
        <f t="shared" si="0"/>
        <v>0</v>
      </c>
      <c r="I28" s="106">
        <f>'Y2 R1'!N12</f>
        <v>0</v>
      </c>
      <c r="J28" s="107">
        <f>'Y2 R2'!N24</f>
        <v>0</v>
      </c>
      <c r="K28" s="107">
        <f>'Y2 R3'!N24</f>
        <v>0</v>
      </c>
      <c r="L28" s="108">
        <f>'Y2 R4'!N24</f>
        <v>0</v>
      </c>
      <c r="M28" s="105">
        <f t="shared" si="1"/>
        <v>0</v>
      </c>
      <c r="N28" s="106">
        <f>'Y3 R1'!N24</f>
        <v>0</v>
      </c>
      <c r="O28" s="107">
        <f>'Y3 R2'!N24</f>
        <v>0</v>
      </c>
      <c r="P28" s="107">
        <f>'Y3 R3'!N24</f>
        <v>0</v>
      </c>
      <c r="Q28" s="108">
        <f>'Y3 R4'!N24</f>
        <v>0</v>
      </c>
      <c r="R28" s="105">
        <f t="shared" si="2"/>
        <v>0</v>
      </c>
      <c r="S28" s="106">
        <f>'Y4 R1'!N24</f>
        <v>0</v>
      </c>
      <c r="T28" s="107">
        <f>'Y4 R2'!N24</f>
        <v>0</v>
      </c>
      <c r="U28" s="107">
        <f>'Y4 R3'!N24</f>
        <v>0</v>
      </c>
      <c r="V28" s="108">
        <f>'Y4 R4'!N24</f>
        <v>0</v>
      </c>
      <c r="W28" s="105">
        <f t="shared" si="3"/>
        <v>0</v>
      </c>
      <c r="X28" s="106">
        <f>'Y5 R1'!N24</f>
        <v>0</v>
      </c>
      <c r="Y28" s="107">
        <f>'Y5 R2'!N24</f>
        <v>0</v>
      </c>
      <c r="Z28" s="107">
        <f>'Y5 R3'!N24</f>
        <v>0</v>
      </c>
      <c r="AA28" s="108">
        <f>'Y5 R4'!N24</f>
        <v>0</v>
      </c>
      <c r="AB28" s="105">
        <f t="shared" si="4"/>
        <v>0</v>
      </c>
      <c r="AC28" s="106">
        <f>'Y6 R1'!N24</f>
        <v>0</v>
      </c>
      <c r="AD28" s="107">
        <f>'Y6 R2'!N24</f>
        <v>0</v>
      </c>
      <c r="AE28" s="107">
        <f>'Y6 R3'!N24</f>
        <v>0</v>
      </c>
      <c r="AF28" s="108">
        <f>'Y6 R4'!N24</f>
        <v>0</v>
      </c>
      <c r="AG28" s="105">
        <f t="shared" si="5"/>
        <v>0</v>
      </c>
      <c r="AH28" s="155"/>
    </row>
    <row r="29" spans="1:60" ht="17" x14ac:dyDescent="0.2">
      <c r="A29" s="152"/>
      <c r="B29" s="94" t="s">
        <v>124</v>
      </c>
      <c r="C29" s="243">
        <f>'Front Sheet'!G47</f>
        <v>0</v>
      </c>
      <c r="D29" s="253">
        <f>'Y1 R1'!N25</f>
        <v>0</v>
      </c>
      <c r="E29" s="107">
        <f>'Y1 R2'!N25</f>
        <v>0</v>
      </c>
      <c r="F29" s="107">
        <f>'Y1 R3'!N25</f>
        <v>0</v>
      </c>
      <c r="G29" s="254">
        <f>'Y1 R4'!N25</f>
        <v>0</v>
      </c>
      <c r="H29" s="105">
        <f t="shared" si="0"/>
        <v>0</v>
      </c>
      <c r="I29" s="106">
        <f>'Y2 R1'!N13</f>
        <v>0</v>
      </c>
      <c r="J29" s="107">
        <f>'Y2 R2'!N25</f>
        <v>0</v>
      </c>
      <c r="K29" s="107">
        <f>'Y2 R3'!N25</f>
        <v>0</v>
      </c>
      <c r="L29" s="108">
        <f>'Y2 R4'!N25</f>
        <v>0</v>
      </c>
      <c r="M29" s="105">
        <f t="shared" si="1"/>
        <v>0</v>
      </c>
      <c r="N29" s="106">
        <f>'Y3 R1'!N25</f>
        <v>0</v>
      </c>
      <c r="O29" s="107">
        <f>'Y3 R2'!N25</f>
        <v>0</v>
      </c>
      <c r="P29" s="107">
        <f>'Y3 R3'!N25</f>
        <v>0</v>
      </c>
      <c r="Q29" s="108">
        <f>'Y3 R4'!N25</f>
        <v>0</v>
      </c>
      <c r="R29" s="105">
        <f t="shared" si="2"/>
        <v>0</v>
      </c>
      <c r="S29" s="106">
        <f>'Y4 R1'!N25</f>
        <v>0</v>
      </c>
      <c r="T29" s="107">
        <f>'Y4 R2'!N25</f>
        <v>0</v>
      </c>
      <c r="U29" s="107">
        <f>'Y4 R3'!N25</f>
        <v>0</v>
      </c>
      <c r="V29" s="108">
        <f>'Y4 R4'!N25</f>
        <v>0</v>
      </c>
      <c r="W29" s="105">
        <f t="shared" si="3"/>
        <v>0</v>
      </c>
      <c r="X29" s="106">
        <f>'Y5 R1'!N25</f>
        <v>0</v>
      </c>
      <c r="Y29" s="107">
        <f>'Y5 R2'!N25</f>
        <v>0</v>
      </c>
      <c r="Z29" s="107">
        <f>'Y5 R3'!N25</f>
        <v>0</v>
      </c>
      <c r="AA29" s="108">
        <f>'Y5 R4'!N25</f>
        <v>0</v>
      </c>
      <c r="AB29" s="105">
        <f t="shared" si="4"/>
        <v>0</v>
      </c>
      <c r="AC29" s="106">
        <f>'Y6 R1'!N25</f>
        <v>0</v>
      </c>
      <c r="AD29" s="107">
        <f>'Y6 R2'!N25</f>
        <v>0</v>
      </c>
      <c r="AE29" s="107">
        <f>'Y6 R3'!N25</f>
        <v>0</v>
      </c>
      <c r="AF29" s="108">
        <f>'Y6 R4'!N25</f>
        <v>0</v>
      </c>
      <c r="AG29" s="105">
        <f t="shared" si="5"/>
        <v>0</v>
      </c>
      <c r="AH29" s="155"/>
    </row>
    <row r="30" spans="1:60" ht="17" x14ac:dyDescent="0.2">
      <c r="A30" s="152"/>
      <c r="B30" s="94" t="s">
        <v>125</v>
      </c>
      <c r="C30" s="243">
        <f>'Front Sheet'!G47</f>
        <v>0</v>
      </c>
      <c r="D30" s="253">
        <f>'Y1 R1'!N26</f>
        <v>0</v>
      </c>
      <c r="E30" s="107">
        <f>'Y1 R2'!N26</f>
        <v>0</v>
      </c>
      <c r="F30" s="107">
        <f>'Y1 R3'!N26</f>
        <v>0</v>
      </c>
      <c r="G30" s="254">
        <f>'Y1 R4'!N26</f>
        <v>0</v>
      </c>
      <c r="H30" s="105">
        <f t="shared" si="0"/>
        <v>0</v>
      </c>
      <c r="I30" s="106">
        <f>'Y2 R1'!N14</f>
        <v>0</v>
      </c>
      <c r="J30" s="107">
        <f>'Y2 R2'!N26</f>
        <v>0</v>
      </c>
      <c r="K30" s="107">
        <f>'Y2 R3'!N26</f>
        <v>0</v>
      </c>
      <c r="L30" s="108">
        <f>'Y2 R4'!N26</f>
        <v>0</v>
      </c>
      <c r="M30" s="105">
        <f t="shared" si="1"/>
        <v>0</v>
      </c>
      <c r="N30" s="106">
        <f>'Y3 R1'!N26</f>
        <v>0</v>
      </c>
      <c r="O30" s="107">
        <f>'Y3 R2'!N26</f>
        <v>0</v>
      </c>
      <c r="P30" s="107">
        <f>'Y3 R3'!N26</f>
        <v>0</v>
      </c>
      <c r="Q30" s="108">
        <f>'Y3 R4'!N26</f>
        <v>0</v>
      </c>
      <c r="R30" s="105">
        <f t="shared" si="2"/>
        <v>0</v>
      </c>
      <c r="S30" s="106">
        <f>'Y4 R1'!N26</f>
        <v>0</v>
      </c>
      <c r="T30" s="107">
        <f>'Y4 R2'!N26</f>
        <v>0</v>
      </c>
      <c r="U30" s="107">
        <f>'Y4 R3'!N26</f>
        <v>0</v>
      </c>
      <c r="V30" s="108">
        <f>'Y4 R4'!N26</f>
        <v>0</v>
      </c>
      <c r="W30" s="105">
        <f t="shared" si="3"/>
        <v>0</v>
      </c>
      <c r="X30" s="106">
        <f>'Y5 R1'!N26</f>
        <v>0</v>
      </c>
      <c r="Y30" s="107">
        <f>'Y5 R2'!N26</f>
        <v>0</v>
      </c>
      <c r="Z30" s="107">
        <f>'Y5 R3'!N26</f>
        <v>0</v>
      </c>
      <c r="AA30" s="108">
        <f>'Y5 R4'!N26</f>
        <v>0</v>
      </c>
      <c r="AB30" s="105">
        <f t="shared" si="4"/>
        <v>0</v>
      </c>
      <c r="AC30" s="106">
        <f>'Y6 R1'!N26</f>
        <v>0</v>
      </c>
      <c r="AD30" s="107">
        <f>'Y6 R2'!N26</f>
        <v>0</v>
      </c>
      <c r="AE30" s="107">
        <f>'Y6 R3'!N26</f>
        <v>0</v>
      </c>
      <c r="AF30" s="108">
        <f>'Y6 R4'!N26</f>
        <v>0</v>
      </c>
      <c r="AG30" s="105">
        <f t="shared" si="5"/>
        <v>0</v>
      </c>
      <c r="AH30" s="155"/>
    </row>
    <row r="31" spans="1:60" s="73" customFormat="1" ht="18" thickBot="1" x14ac:dyDescent="0.25">
      <c r="A31" s="156"/>
      <c r="B31" s="179" t="s">
        <v>218</v>
      </c>
      <c r="C31" s="245">
        <f>AVERAGE(C26:C30)</f>
        <v>0</v>
      </c>
      <c r="D31" s="257">
        <f t="shared" ref="D31:F31" si="14">AVERAGE(D26:D30)</f>
        <v>0</v>
      </c>
      <c r="E31" s="99">
        <f t="shared" si="14"/>
        <v>0</v>
      </c>
      <c r="F31" s="99">
        <f t="shared" si="14"/>
        <v>0</v>
      </c>
      <c r="G31" s="258">
        <f>AVERAGE(G26:G30)</f>
        <v>0</v>
      </c>
      <c r="H31" s="97">
        <f>AVERAGE(H26:H30)</f>
        <v>0</v>
      </c>
      <c r="I31" s="98">
        <f>AVERAGE(I26:I29)</f>
        <v>0</v>
      </c>
      <c r="J31" s="99">
        <f>AVERAGE(J26:J29)</f>
        <v>0</v>
      </c>
      <c r="K31" s="99">
        <f>AVERAGE(K26:K29)</f>
        <v>0</v>
      </c>
      <c r="L31" s="100">
        <f>AVERAGE(L26:L29)</f>
        <v>0</v>
      </c>
      <c r="M31" s="97">
        <f>AVERAGE(M26:M30)</f>
        <v>0</v>
      </c>
      <c r="N31" s="98">
        <f>AVERAGE(N26:N29)</f>
        <v>0</v>
      </c>
      <c r="O31" s="99">
        <f>AVERAGE(O26:O29)</f>
        <v>0</v>
      </c>
      <c r="P31" s="99">
        <f>AVERAGE(P26:P29)</f>
        <v>0</v>
      </c>
      <c r="Q31" s="100">
        <f>AVERAGE(Q26:Q29)</f>
        <v>0</v>
      </c>
      <c r="R31" s="97">
        <f>AVERAGE(R26:R30)</f>
        <v>0</v>
      </c>
      <c r="S31" s="98">
        <f>AVERAGE(S26:S29)</f>
        <v>0</v>
      </c>
      <c r="T31" s="99">
        <f>AVERAGE(T26:T29)</f>
        <v>0</v>
      </c>
      <c r="U31" s="99">
        <f>AVERAGE(U26:U29)</f>
        <v>0</v>
      </c>
      <c r="V31" s="100">
        <f>AVERAGE(V26:V29)</f>
        <v>0</v>
      </c>
      <c r="W31" s="97">
        <f>AVERAGE(W26:W30)</f>
        <v>0</v>
      </c>
      <c r="X31" s="98">
        <f>AVERAGE(X26:X29)</f>
        <v>0</v>
      </c>
      <c r="Y31" s="99">
        <f>AVERAGE(Y26:Y29)</f>
        <v>0</v>
      </c>
      <c r="Z31" s="99">
        <f>AVERAGE(Z26:Z29)</f>
        <v>0</v>
      </c>
      <c r="AA31" s="100">
        <f>AVERAGE(AA26:AA29)</f>
        <v>0</v>
      </c>
      <c r="AB31" s="97">
        <f>AVERAGE(AB26:AB30)</f>
        <v>0</v>
      </c>
      <c r="AC31" s="98">
        <f>AVERAGE(AC26:AC29)</f>
        <v>0</v>
      </c>
      <c r="AD31" s="99">
        <f>AVERAGE(AD26:AD29)</f>
        <v>0</v>
      </c>
      <c r="AE31" s="99">
        <f>AVERAGE(AE26:AE29)</f>
        <v>0</v>
      </c>
      <c r="AF31" s="100">
        <f>AVERAGE(AF26:AF29)</f>
        <v>0</v>
      </c>
      <c r="AG31" s="97">
        <f>AVERAGE(AG26:AG30)</f>
        <v>0</v>
      </c>
      <c r="AH31" s="157"/>
      <c r="AI31" s="178"/>
      <c r="AJ31" s="178"/>
      <c r="AK31" s="178"/>
      <c r="AL31" s="178"/>
      <c r="AM31" s="178"/>
      <c r="AN31" s="178"/>
      <c r="AO31" s="178"/>
      <c r="AP31" s="178"/>
      <c r="AQ31" s="178"/>
      <c r="AR31" s="178"/>
      <c r="AS31" s="178"/>
      <c r="AT31" s="178"/>
      <c r="AU31" s="178"/>
      <c r="AV31" s="178"/>
      <c r="AW31" s="178"/>
      <c r="AX31" s="178"/>
      <c r="AY31" s="178"/>
      <c r="AZ31" s="178"/>
      <c r="BA31" s="178"/>
      <c r="BB31" s="178"/>
      <c r="BC31" s="178"/>
      <c r="BD31" s="178"/>
      <c r="BE31" s="178"/>
      <c r="BF31" s="178"/>
      <c r="BG31" s="178"/>
      <c r="BH31" s="178"/>
    </row>
    <row r="32" spans="1:60" s="73" customFormat="1" ht="69" hidden="1" thickBot="1" x14ac:dyDescent="0.25">
      <c r="A32" s="156"/>
      <c r="B32" s="95" t="s">
        <v>285</v>
      </c>
      <c r="C32" s="261">
        <v>0</v>
      </c>
      <c r="D32" s="249"/>
      <c r="E32" s="249"/>
      <c r="F32" s="249"/>
      <c r="G32" s="249"/>
      <c r="H32" s="260">
        <v>0.8</v>
      </c>
      <c r="I32" s="92"/>
      <c r="J32" s="92"/>
      <c r="K32" s="92"/>
      <c r="L32" s="92"/>
      <c r="M32" s="260">
        <v>1.5</v>
      </c>
      <c r="N32" s="92"/>
      <c r="O32" s="92"/>
      <c r="P32" s="92"/>
      <c r="Q32" s="92"/>
      <c r="R32" s="262">
        <v>2</v>
      </c>
      <c r="S32" s="92"/>
      <c r="T32" s="92"/>
      <c r="U32" s="92"/>
      <c r="V32" s="92"/>
      <c r="W32" s="262">
        <v>2.4</v>
      </c>
      <c r="X32" s="92"/>
      <c r="Y32" s="92"/>
      <c r="Z32" s="92"/>
      <c r="AA32" s="92"/>
      <c r="AB32" s="262">
        <v>2.7</v>
      </c>
      <c r="AC32" s="92"/>
      <c r="AD32" s="92"/>
      <c r="AE32" s="92"/>
      <c r="AF32" s="92"/>
      <c r="AG32" s="262">
        <v>2.9</v>
      </c>
      <c r="AH32" s="157"/>
      <c r="AI32" s="178"/>
      <c r="AJ32" s="178"/>
      <c r="AK32" s="178"/>
      <c r="AL32" s="178"/>
      <c r="AM32" s="178"/>
      <c r="AN32" s="178"/>
      <c r="AO32" s="178"/>
      <c r="AP32" s="178"/>
      <c r="AQ32" s="178"/>
      <c r="AR32" s="178"/>
      <c r="AS32" s="178"/>
      <c r="AT32" s="178"/>
      <c r="AU32" s="178"/>
      <c r="AV32" s="178"/>
      <c r="AW32" s="178"/>
      <c r="AX32" s="178"/>
      <c r="AY32" s="178"/>
      <c r="AZ32" s="178"/>
      <c r="BA32" s="178"/>
      <c r="BB32" s="178"/>
      <c r="BC32" s="178"/>
      <c r="BD32" s="178"/>
      <c r="BE32" s="178"/>
      <c r="BF32" s="178"/>
      <c r="BG32" s="178"/>
      <c r="BH32" s="178"/>
    </row>
    <row r="33" spans="1:34" ht="17" thickBot="1" x14ac:dyDescent="0.25">
      <c r="A33" s="158"/>
      <c r="B33" s="159"/>
      <c r="C33" s="160"/>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160"/>
      <c r="AB33" s="160"/>
      <c r="AC33" s="160"/>
      <c r="AD33" s="160"/>
      <c r="AE33" s="160"/>
      <c r="AF33" s="160"/>
      <c r="AG33" s="160"/>
      <c r="AH33" s="161"/>
    </row>
    <row r="34" spans="1:34" s="177" customFormat="1" x14ac:dyDescent="0.2">
      <c r="B34" s="178"/>
    </row>
    <row r="35" spans="1:34" s="177" customFormat="1" x14ac:dyDescent="0.2">
      <c r="B35" s="178"/>
    </row>
    <row r="36" spans="1:34" s="177" customFormat="1" x14ac:dyDescent="0.2">
      <c r="B36" s="178"/>
    </row>
    <row r="37" spans="1:34" s="177" customFormat="1" x14ac:dyDescent="0.2">
      <c r="B37" s="178"/>
      <c r="D37" s="425"/>
      <c r="E37" s="425"/>
      <c r="F37" s="425"/>
      <c r="G37" s="425"/>
      <c r="H37" s="425"/>
      <c r="I37" s="228"/>
      <c r="J37" s="228"/>
    </row>
    <row r="38" spans="1:34" s="177" customFormat="1" x14ac:dyDescent="0.2">
      <c r="B38" s="178"/>
      <c r="D38" s="425"/>
      <c r="E38" s="425"/>
      <c r="F38" s="425"/>
      <c r="G38" s="425"/>
      <c r="H38" s="425"/>
      <c r="I38" s="228"/>
      <c r="J38" s="228"/>
    </row>
    <row r="39" spans="1:34" s="177" customFormat="1" x14ac:dyDescent="0.2">
      <c r="B39" s="178"/>
      <c r="D39" s="426"/>
      <c r="E39" s="426"/>
      <c r="F39" s="426"/>
      <c r="G39" s="426"/>
      <c r="H39" s="426"/>
      <c r="I39" s="228"/>
      <c r="J39" s="228"/>
    </row>
    <row r="40" spans="1:34" s="177" customFormat="1" x14ac:dyDescent="0.2">
      <c r="B40" s="178"/>
      <c r="D40" s="425"/>
      <c r="E40" s="425"/>
      <c r="F40" s="425"/>
      <c r="G40" s="425"/>
      <c r="H40" s="425"/>
      <c r="I40" s="425"/>
      <c r="J40" s="425"/>
      <c r="K40" s="227"/>
      <c r="L40" s="227"/>
      <c r="M40" s="227"/>
      <c r="N40" s="227"/>
    </row>
    <row r="41" spans="1:34" s="177" customFormat="1" x14ac:dyDescent="0.2">
      <c r="B41" s="178"/>
    </row>
    <row r="42" spans="1:34" s="177" customFormat="1" x14ac:dyDescent="0.2">
      <c r="B42" s="178"/>
    </row>
    <row r="43" spans="1:34" s="177" customFormat="1" x14ac:dyDescent="0.2">
      <c r="B43" s="178"/>
    </row>
    <row r="44" spans="1:34" s="177" customFormat="1" x14ac:dyDescent="0.2">
      <c r="B44" s="178"/>
    </row>
    <row r="45" spans="1:34" s="177" customFormat="1" x14ac:dyDescent="0.2">
      <c r="B45" s="178"/>
    </row>
    <row r="46" spans="1:34" s="177" customFormat="1" x14ac:dyDescent="0.2">
      <c r="B46" s="178"/>
    </row>
    <row r="47" spans="1:34" s="177" customFormat="1" x14ac:dyDescent="0.2">
      <c r="B47" s="178"/>
    </row>
    <row r="48" spans="1:34" s="177" customFormat="1" x14ac:dyDescent="0.2">
      <c r="B48" s="178"/>
    </row>
    <row r="49" spans="2:2" s="177" customFormat="1" x14ac:dyDescent="0.2">
      <c r="B49" s="178"/>
    </row>
    <row r="50" spans="2:2" s="177" customFormat="1" x14ac:dyDescent="0.2">
      <c r="B50" s="178"/>
    </row>
    <row r="51" spans="2:2" s="177" customFormat="1" x14ac:dyDescent="0.2">
      <c r="B51" s="178"/>
    </row>
    <row r="52" spans="2:2" s="177" customFormat="1" x14ac:dyDescent="0.2">
      <c r="B52" s="178"/>
    </row>
    <row r="53" spans="2:2" s="177" customFormat="1" x14ac:dyDescent="0.2">
      <c r="B53" s="178"/>
    </row>
    <row r="54" spans="2:2" s="177" customFormat="1" x14ac:dyDescent="0.2">
      <c r="B54" s="178"/>
    </row>
    <row r="55" spans="2:2" s="177" customFormat="1" x14ac:dyDescent="0.2">
      <c r="B55" s="178"/>
    </row>
    <row r="56" spans="2:2" s="177" customFormat="1" x14ac:dyDescent="0.2">
      <c r="B56" s="178"/>
    </row>
    <row r="57" spans="2:2" s="177" customFormat="1" x14ac:dyDescent="0.2">
      <c r="B57" s="178"/>
    </row>
    <row r="58" spans="2:2" s="177" customFormat="1" x14ac:dyDescent="0.2">
      <c r="B58" s="178"/>
    </row>
    <row r="59" spans="2:2" s="177" customFormat="1" x14ac:dyDescent="0.2">
      <c r="B59" s="178"/>
    </row>
    <row r="60" spans="2:2" s="177" customFormat="1" x14ac:dyDescent="0.2">
      <c r="B60" s="178"/>
    </row>
    <row r="61" spans="2:2" s="177" customFormat="1" x14ac:dyDescent="0.2">
      <c r="B61" s="178"/>
    </row>
    <row r="62" spans="2:2" s="177" customFormat="1" x14ac:dyDescent="0.2">
      <c r="B62" s="178"/>
    </row>
    <row r="63" spans="2:2" s="177" customFormat="1" x14ac:dyDescent="0.2">
      <c r="B63" s="178"/>
    </row>
    <row r="64" spans="2:2" s="177" customFormat="1" x14ac:dyDescent="0.2">
      <c r="B64" s="178"/>
    </row>
    <row r="65" spans="2:2" s="177" customFormat="1" x14ac:dyDescent="0.2">
      <c r="B65" s="178"/>
    </row>
    <row r="66" spans="2:2" s="177" customFormat="1" x14ac:dyDescent="0.2">
      <c r="B66" s="178"/>
    </row>
    <row r="67" spans="2:2" s="177" customFormat="1" x14ac:dyDescent="0.2">
      <c r="B67" s="178"/>
    </row>
    <row r="68" spans="2:2" s="177" customFormat="1" x14ac:dyDescent="0.2">
      <c r="B68" s="178"/>
    </row>
    <row r="69" spans="2:2" s="177" customFormat="1" x14ac:dyDescent="0.2">
      <c r="B69" s="178"/>
    </row>
    <row r="70" spans="2:2" s="177" customFormat="1" x14ac:dyDescent="0.2">
      <c r="B70" s="178"/>
    </row>
    <row r="71" spans="2:2" s="177" customFormat="1" x14ac:dyDescent="0.2">
      <c r="B71" s="178"/>
    </row>
    <row r="72" spans="2:2" s="177" customFormat="1" x14ac:dyDescent="0.2">
      <c r="B72" s="178"/>
    </row>
    <row r="73" spans="2:2" s="177" customFormat="1" x14ac:dyDescent="0.2">
      <c r="B73" s="178"/>
    </row>
    <row r="74" spans="2:2" s="177" customFormat="1" x14ac:dyDescent="0.2">
      <c r="B74" s="178"/>
    </row>
    <row r="75" spans="2:2" s="177" customFormat="1" x14ac:dyDescent="0.2">
      <c r="B75" s="178"/>
    </row>
    <row r="76" spans="2:2" s="177" customFormat="1" x14ac:dyDescent="0.2">
      <c r="B76" s="178"/>
    </row>
    <row r="77" spans="2:2" s="177" customFormat="1" x14ac:dyDescent="0.2">
      <c r="B77" s="178"/>
    </row>
    <row r="78" spans="2:2" s="177" customFormat="1" x14ac:dyDescent="0.2">
      <c r="B78" s="178"/>
    </row>
    <row r="79" spans="2:2" s="177" customFormat="1" x14ac:dyDescent="0.2">
      <c r="B79" s="178"/>
    </row>
    <row r="80" spans="2:2" s="177" customFormat="1" x14ac:dyDescent="0.2">
      <c r="B80" s="178"/>
    </row>
    <row r="81" spans="2:2" s="177" customFormat="1" x14ac:dyDescent="0.2">
      <c r="B81" s="178"/>
    </row>
    <row r="82" spans="2:2" s="177" customFormat="1" x14ac:dyDescent="0.2">
      <c r="B82" s="178"/>
    </row>
    <row r="83" spans="2:2" s="177" customFormat="1" x14ac:dyDescent="0.2">
      <c r="B83" s="178"/>
    </row>
    <row r="84" spans="2:2" s="177" customFormat="1" x14ac:dyDescent="0.2">
      <c r="B84" s="178"/>
    </row>
    <row r="85" spans="2:2" s="177" customFormat="1" x14ac:dyDescent="0.2">
      <c r="B85" s="178"/>
    </row>
    <row r="86" spans="2:2" s="177" customFormat="1" x14ac:dyDescent="0.2">
      <c r="B86" s="178"/>
    </row>
    <row r="87" spans="2:2" s="177" customFormat="1" x14ac:dyDescent="0.2">
      <c r="B87" s="178"/>
    </row>
    <row r="88" spans="2:2" s="177" customFormat="1" x14ac:dyDescent="0.2">
      <c r="B88" s="178"/>
    </row>
    <row r="89" spans="2:2" s="177" customFormat="1" x14ac:dyDescent="0.2">
      <c r="B89" s="178"/>
    </row>
    <row r="90" spans="2:2" s="177" customFormat="1" x14ac:dyDescent="0.2">
      <c r="B90" s="178"/>
    </row>
    <row r="91" spans="2:2" s="177" customFormat="1" x14ac:dyDescent="0.2">
      <c r="B91" s="178"/>
    </row>
    <row r="92" spans="2:2" s="177" customFormat="1" x14ac:dyDescent="0.2">
      <c r="B92" s="178"/>
    </row>
    <row r="93" spans="2:2" s="177" customFormat="1" x14ac:dyDescent="0.2">
      <c r="B93" s="178"/>
    </row>
    <row r="94" spans="2:2" s="177" customFormat="1" x14ac:dyDescent="0.2">
      <c r="B94" s="178"/>
    </row>
    <row r="95" spans="2:2" s="177" customFormat="1" x14ac:dyDescent="0.2">
      <c r="B95" s="178"/>
    </row>
    <row r="96" spans="2:2" s="177" customFormat="1" x14ac:dyDescent="0.2">
      <c r="B96" s="178"/>
    </row>
    <row r="97" spans="2:2" s="177" customFormat="1" x14ac:dyDescent="0.2">
      <c r="B97" s="178"/>
    </row>
    <row r="98" spans="2:2" s="177" customFormat="1" x14ac:dyDescent="0.2">
      <c r="B98" s="178"/>
    </row>
    <row r="99" spans="2:2" s="177" customFormat="1" x14ac:dyDescent="0.2">
      <c r="B99" s="178"/>
    </row>
    <row r="100" spans="2:2" s="177" customFormat="1" x14ac:dyDescent="0.2">
      <c r="B100" s="178"/>
    </row>
    <row r="101" spans="2:2" s="177" customFormat="1" x14ac:dyDescent="0.2">
      <c r="B101" s="178"/>
    </row>
    <row r="102" spans="2:2" s="177" customFormat="1" x14ac:dyDescent="0.2">
      <c r="B102" s="178"/>
    </row>
    <row r="103" spans="2:2" s="177" customFormat="1" x14ac:dyDescent="0.2">
      <c r="B103" s="178"/>
    </row>
    <row r="104" spans="2:2" s="177" customFormat="1" x14ac:dyDescent="0.2">
      <c r="B104" s="178"/>
    </row>
    <row r="105" spans="2:2" s="177" customFormat="1" x14ac:dyDescent="0.2">
      <c r="B105" s="178"/>
    </row>
    <row r="106" spans="2:2" s="177" customFormat="1" x14ac:dyDescent="0.2">
      <c r="B106" s="178"/>
    </row>
    <row r="107" spans="2:2" s="177" customFormat="1" x14ac:dyDescent="0.2">
      <c r="B107" s="178"/>
    </row>
    <row r="108" spans="2:2" s="177" customFormat="1" x14ac:dyDescent="0.2">
      <c r="B108" s="178"/>
    </row>
    <row r="109" spans="2:2" s="177" customFormat="1" x14ac:dyDescent="0.2">
      <c r="B109" s="178"/>
    </row>
    <row r="110" spans="2:2" s="177" customFormat="1" x14ac:dyDescent="0.2">
      <c r="B110" s="178"/>
    </row>
    <row r="111" spans="2:2" s="177" customFormat="1" x14ac:dyDescent="0.2">
      <c r="B111" s="178"/>
    </row>
    <row r="112" spans="2:2" s="177" customFormat="1" x14ac:dyDescent="0.2">
      <c r="B112" s="178"/>
    </row>
    <row r="113" spans="2:2" s="177" customFormat="1" x14ac:dyDescent="0.2">
      <c r="B113" s="178"/>
    </row>
    <row r="114" spans="2:2" s="177" customFormat="1" x14ac:dyDescent="0.2">
      <c r="B114" s="178"/>
    </row>
    <row r="115" spans="2:2" s="177" customFormat="1" x14ac:dyDescent="0.2">
      <c r="B115" s="178"/>
    </row>
    <row r="116" spans="2:2" s="177" customFormat="1" x14ac:dyDescent="0.2">
      <c r="B116" s="178"/>
    </row>
    <row r="117" spans="2:2" s="177" customFormat="1" x14ac:dyDescent="0.2">
      <c r="B117" s="178"/>
    </row>
    <row r="118" spans="2:2" s="177" customFormat="1" x14ac:dyDescent="0.2">
      <c r="B118" s="178"/>
    </row>
    <row r="119" spans="2:2" s="177" customFormat="1" x14ac:dyDescent="0.2">
      <c r="B119" s="178"/>
    </row>
    <row r="120" spans="2:2" s="177" customFormat="1" x14ac:dyDescent="0.2">
      <c r="B120" s="178"/>
    </row>
    <row r="121" spans="2:2" s="177" customFormat="1" x14ac:dyDescent="0.2">
      <c r="B121" s="178"/>
    </row>
    <row r="122" spans="2:2" s="177" customFormat="1" x14ac:dyDescent="0.2">
      <c r="B122" s="178"/>
    </row>
    <row r="123" spans="2:2" s="177" customFormat="1" x14ac:dyDescent="0.2">
      <c r="B123" s="178"/>
    </row>
    <row r="124" spans="2:2" s="177" customFormat="1" x14ac:dyDescent="0.2">
      <c r="B124" s="178"/>
    </row>
    <row r="125" spans="2:2" s="177" customFormat="1" x14ac:dyDescent="0.2">
      <c r="B125" s="178"/>
    </row>
    <row r="126" spans="2:2" s="177" customFormat="1" x14ac:dyDescent="0.2">
      <c r="B126" s="178"/>
    </row>
  </sheetData>
  <mergeCells count="21">
    <mergeCell ref="D37:H37"/>
    <mergeCell ref="D38:H38"/>
    <mergeCell ref="D39:H39"/>
    <mergeCell ref="D40:J40"/>
    <mergeCell ref="AF1:AG1"/>
    <mergeCell ref="AC1:AE1"/>
    <mergeCell ref="V2:X6"/>
    <mergeCell ref="Y2:AA6"/>
    <mergeCell ref="AB2:AD6"/>
    <mergeCell ref="AE2:AG6"/>
    <mergeCell ref="B2:O2"/>
    <mergeCell ref="P4:Q4"/>
    <mergeCell ref="P5:Q6"/>
    <mergeCell ref="R4:T4"/>
    <mergeCell ref="R5:T5"/>
    <mergeCell ref="R6:T6"/>
    <mergeCell ref="H5:K6"/>
    <mergeCell ref="H4:K4"/>
    <mergeCell ref="L4:O4"/>
    <mergeCell ref="L5:O6"/>
    <mergeCell ref="C5:G6"/>
  </mergeCells>
  <conditionalFormatting sqref="C10:AG31">
    <cfRule type="cellIs" dxfId="486" priority="9" operator="greaterThan">
      <formula>3</formula>
    </cfRule>
    <cfRule type="cellIs" dxfId="485" priority="10" operator="between">
      <formula>2</formula>
      <formula>3</formula>
    </cfRule>
    <cfRule type="cellIs" dxfId="484" priority="11" operator="between">
      <formula>1</formula>
      <formula>2</formula>
    </cfRule>
    <cfRule type="cellIs" dxfId="483" priority="12" operator="lessThan">
      <formula>1</formula>
    </cfRule>
  </conditionalFormatting>
  <conditionalFormatting sqref="C32 H32 AG32 AB32 W32 R32 M32">
    <cfRule type="cellIs" dxfId="482" priority="1" operator="greaterThan">
      <formula>3</formula>
    </cfRule>
    <cfRule type="cellIs" dxfId="481" priority="2" operator="between">
      <formula>2</formula>
      <formula>3</formula>
    </cfRule>
    <cfRule type="cellIs" dxfId="480" priority="3" operator="between">
      <formula>1</formula>
      <formula>2</formula>
    </cfRule>
    <cfRule type="cellIs" dxfId="479" priority="4" operator="lessThan">
      <formula>1</formula>
    </cfRule>
  </conditionalFormatting>
  <printOptions horizontalCentered="1" verticalCentered="1"/>
  <pageMargins left="0.25" right="0.25" top="0.75" bottom="0.75" header="0.3" footer="0.3"/>
  <pageSetup paperSize="9" scale="66" orientation="landscape" horizontalDpi="90" verticalDpi="90" r:id="rId1"/>
  <ignoredErrors>
    <ignoredError sqref="A1" emptyCellReference="1"/>
  </ignoredErrors>
  <drawing r:id="rId2"/>
  <legacyDrawing r:id="rId3"/>
  <mc:AlternateContent xmlns:mc="http://schemas.openxmlformats.org/markup-compatibility/2006">
    <mc:Choice Requires="x14">
      <controls>
        <mc:AlternateContent xmlns:mc="http://schemas.openxmlformats.org/markup-compatibility/2006">
          <mc:Choice Requires="x14">
            <control shapeId="6149" r:id="rId4" name="Button 5">
              <controlPr defaultSize="0" print="0" autoFill="0" autoPict="0" macro="[0]!Save_Tab_to_PDF">
                <anchor moveWithCells="1" sizeWithCells="1">
                  <from>
                    <xdr:col>0</xdr:col>
                    <xdr:colOff>0</xdr:colOff>
                    <xdr:row>0</xdr:row>
                    <xdr:rowOff>0</xdr:rowOff>
                  </from>
                  <to>
                    <xdr:col>1</xdr:col>
                    <xdr:colOff>736600</xdr:colOff>
                    <xdr:row>1</xdr:row>
                    <xdr:rowOff>25400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A1:AA42"/>
  <sheetViews>
    <sheetView showGridLines="0" showZeros="0" zoomScale="70" zoomScaleNormal="70" workbookViewId="0">
      <selection activeCell="AJ1" sqref="AJ1"/>
    </sheetView>
  </sheetViews>
  <sheetFormatPr baseColWidth="10" defaultColWidth="8.6640625" defaultRowHeight="16" x14ac:dyDescent="0.2"/>
  <cols>
    <col min="1" max="1" width="6.6640625" style="127" customWidth="1"/>
    <col min="2" max="2" width="8.6640625" style="127"/>
    <col min="3" max="3" width="13.1640625" style="127" bestFit="1" customWidth="1"/>
    <col min="4" max="4" width="15.6640625" style="127" bestFit="1" customWidth="1"/>
    <col min="5" max="8" width="8.6640625" style="127"/>
    <col min="9" max="9" width="9.6640625" style="127" bestFit="1" customWidth="1"/>
    <col min="10" max="10" width="14.1640625" style="127" bestFit="1" customWidth="1"/>
    <col min="11" max="11" width="8.6640625" style="127"/>
    <col min="12" max="12" width="15" style="127" bestFit="1" customWidth="1"/>
    <col min="13" max="14" width="8.6640625" style="127"/>
    <col min="15" max="15" width="15" style="127" bestFit="1" customWidth="1"/>
    <col min="16" max="16384" width="8.6640625" style="127"/>
  </cols>
  <sheetData>
    <row r="1" spans="1:27" ht="25.25" customHeight="1" x14ac:dyDescent="0.2">
      <c r="A1" s="230" t="str">
        <f ca="1">RIGHT(CELL("filename",ZZ1000),LEN(CELL("filename",ZZ1000))-FIND("]",CELL("filename",ZZ1000)))</f>
        <v>Slope</v>
      </c>
    </row>
    <row r="2" spans="1:27" ht="7.25" customHeight="1" thickBot="1" x14ac:dyDescent="0.25"/>
    <row r="3" spans="1:27" ht="35" customHeight="1" x14ac:dyDescent="0.2">
      <c r="B3" s="199" t="s">
        <v>216</v>
      </c>
      <c r="C3" s="200" t="str">
        <f>'Front Sheet'!G2</f>
        <v>pmcgaw</v>
      </c>
      <c r="D3" s="146"/>
      <c r="E3" s="136"/>
      <c r="F3" s="136"/>
      <c r="G3" s="475"/>
      <c r="H3" s="475"/>
      <c r="I3" s="476"/>
      <c r="J3" s="476"/>
      <c r="K3" s="476"/>
      <c r="L3" s="146"/>
      <c r="M3" s="129"/>
      <c r="N3" s="129"/>
      <c r="O3" s="129"/>
      <c r="P3" s="137"/>
      <c r="Q3" s="137"/>
      <c r="R3" s="137"/>
      <c r="S3" s="469" t="s">
        <v>256</v>
      </c>
      <c r="T3" s="469"/>
      <c r="U3" s="470">
        <f ca="1">TODAY()</f>
        <v>43969</v>
      </c>
      <c r="V3" s="471"/>
    </row>
    <row r="4" spans="1:27" ht="41" customHeight="1" x14ac:dyDescent="0.2">
      <c r="B4" s="130"/>
      <c r="C4" s="131"/>
      <c r="D4" s="131"/>
      <c r="E4" s="131"/>
      <c r="F4" s="131"/>
      <c r="G4" s="131"/>
      <c r="H4" s="131"/>
      <c r="I4" s="131"/>
      <c r="J4" s="131"/>
      <c r="K4" s="131"/>
      <c r="L4" s="131"/>
      <c r="M4" s="131"/>
      <c r="N4" s="131"/>
      <c r="O4" s="131"/>
      <c r="P4" s="131"/>
      <c r="Q4" s="131"/>
      <c r="R4" s="131"/>
      <c r="S4" s="131"/>
      <c r="T4" s="131"/>
      <c r="U4" s="131"/>
      <c r="V4" s="132"/>
      <c r="Y4" s="128"/>
      <c r="Z4" s="128"/>
      <c r="AA4" s="128"/>
    </row>
    <row r="5" spans="1:27" x14ac:dyDescent="0.2">
      <c r="B5" s="130"/>
      <c r="C5" s="131"/>
      <c r="D5" s="131"/>
      <c r="E5" s="131"/>
      <c r="F5" s="131"/>
      <c r="G5" s="131"/>
      <c r="H5" s="131"/>
      <c r="I5" s="131"/>
      <c r="J5" s="131"/>
      <c r="K5" s="131"/>
      <c r="L5" s="131"/>
      <c r="M5" s="131"/>
      <c r="N5" s="131"/>
      <c r="O5" s="131"/>
      <c r="P5" s="131"/>
      <c r="Q5" s="131"/>
      <c r="R5" s="131"/>
      <c r="S5" s="131"/>
      <c r="T5" s="131"/>
      <c r="U5" s="131"/>
      <c r="V5" s="132"/>
    </row>
    <row r="6" spans="1:27" ht="15.5" customHeight="1" x14ac:dyDescent="0.2">
      <c r="B6" s="130"/>
      <c r="C6" s="131"/>
      <c r="D6" s="131"/>
      <c r="E6" s="131"/>
      <c r="F6" s="131"/>
      <c r="G6" s="131"/>
      <c r="H6" s="131"/>
      <c r="I6" s="131"/>
      <c r="J6" s="131"/>
      <c r="K6" s="131"/>
      <c r="L6" s="131"/>
      <c r="M6" s="131"/>
      <c r="N6" s="131"/>
      <c r="O6" s="131"/>
      <c r="P6" s="131"/>
      <c r="Q6" s="131"/>
      <c r="R6" s="131"/>
      <c r="S6" s="131"/>
      <c r="T6" s="131"/>
      <c r="U6" s="131"/>
      <c r="V6" s="132"/>
    </row>
    <row r="7" spans="1:27" ht="16.25" customHeight="1" x14ac:dyDescent="0.2">
      <c r="B7" s="130"/>
      <c r="C7" s="131"/>
      <c r="D7" s="131"/>
      <c r="E7" s="131"/>
      <c r="F7" s="131"/>
      <c r="G7" s="131"/>
      <c r="H7" s="131"/>
      <c r="I7" s="131"/>
      <c r="J7" s="131"/>
      <c r="K7" s="131"/>
      <c r="L7" s="131"/>
      <c r="M7" s="131"/>
      <c r="N7" s="131"/>
      <c r="O7" s="131"/>
      <c r="P7" s="131"/>
      <c r="Q7" s="131"/>
      <c r="R7" s="131"/>
      <c r="S7" s="131"/>
      <c r="T7" s="131"/>
      <c r="U7" s="131"/>
      <c r="V7" s="132"/>
    </row>
    <row r="8" spans="1:27" x14ac:dyDescent="0.2">
      <c r="B8" s="130"/>
      <c r="C8" s="131"/>
      <c r="D8" s="131"/>
      <c r="E8" s="131"/>
      <c r="F8" s="131"/>
      <c r="G8" s="131"/>
      <c r="H8" s="131"/>
      <c r="I8" s="131"/>
      <c r="J8" s="131"/>
      <c r="K8" s="131"/>
      <c r="L8" s="131"/>
      <c r="M8" s="131"/>
      <c r="N8" s="131"/>
      <c r="O8" s="131"/>
      <c r="P8" s="131"/>
      <c r="Q8" s="131"/>
      <c r="R8" s="131"/>
      <c r="S8" s="131"/>
      <c r="T8" s="131"/>
      <c r="U8" s="131"/>
      <c r="V8" s="132"/>
    </row>
    <row r="9" spans="1:27" x14ac:dyDescent="0.2">
      <c r="B9" s="130"/>
      <c r="C9" s="131"/>
      <c r="D9" s="131"/>
      <c r="E9" s="131"/>
      <c r="F9" s="131"/>
      <c r="G9" s="131"/>
      <c r="H9" s="131"/>
      <c r="I9" s="131"/>
      <c r="J9" s="131"/>
      <c r="K9" s="131"/>
      <c r="L9" s="131"/>
      <c r="M9" s="131"/>
      <c r="N9" s="131"/>
      <c r="O9" s="131"/>
      <c r="P9" s="131"/>
      <c r="Q9" s="131"/>
      <c r="R9" s="131"/>
      <c r="S9" s="131"/>
      <c r="T9" s="131"/>
      <c r="U9" s="131"/>
      <c r="V9" s="132"/>
    </row>
    <row r="10" spans="1:27" x14ac:dyDescent="0.2">
      <c r="B10" s="130"/>
      <c r="C10" s="131"/>
      <c r="D10" s="131"/>
      <c r="E10" s="131"/>
      <c r="F10" s="131"/>
      <c r="G10" s="131"/>
      <c r="H10" s="131"/>
      <c r="I10" s="131"/>
      <c r="J10" s="131"/>
      <c r="K10" s="131"/>
      <c r="L10" s="131"/>
      <c r="M10" s="131"/>
      <c r="N10" s="131"/>
      <c r="O10" s="131"/>
      <c r="P10" s="131"/>
      <c r="Q10" s="131"/>
      <c r="R10" s="131"/>
      <c r="S10" s="131"/>
      <c r="T10" s="131"/>
      <c r="U10" s="131"/>
      <c r="V10" s="132"/>
    </row>
    <row r="11" spans="1:27" x14ac:dyDescent="0.2">
      <c r="B11" s="130"/>
      <c r="C11" s="131"/>
      <c r="D11" s="131"/>
      <c r="E11" s="131"/>
      <c r="F11" s="131"/>
      <c r="G11" s="131"/>
      <c r="H11" s="131"/>
      <c r="I11" s="131"/>
      <c r="J11" s="131"/>
      <c r="K11" s="131"/>
      <c r="L11" s="131"/>
      <c r="M11" s="131"/>
      <c r="N11" s="131"/>
      <c r="O11" s="131"/>
      <c r="P11" s="131"/>
      <c r="Q11" s="131"/>
      <c r="R11" s="131"/>
      <c r="S11" s="131"/>
      <c r="T11" s="131"/>
      <c r="U11" s="131"/>
      <c r="V11" s="132"/>
    </row>
    <row r="12" spans="1:27" x14ac:dyDescent="0.2">
      <c r="B12" s="130"/>
      <c r="C12" s="131"/>
      <c r="D12" s="131"/>
      <c r="E12" s="131"/>
      <c r="F12" s="131"/>
      <c r="G12" s="131"/>
      <c r="H12" s="131"/>
      <c r="I12" s="131"/>
      <c r="J12" s="131"/>
      <c r="K12" s="131"/>
      <c r="L12" s="131"/>
      <c r="M12" s="131"/>
      <c r="N12" s="131"/>
      <c r="O12" s="131"/>
      <c r="P12" s="131"/>
      <c r="Q12" s="131"/>
      <c r="R12" s="131"/>
      <c r="S12" s="131"/>
      <c r="T12" s="131"/>
      <c r="U12" s="131"/>
      <c r="V12" s="132"/>
    </row>
    <row r="13" spans="1:27" x14ac:dyDescent="0.2">
      <c r="B13" s="130"/>
      <c r="C13" s="131"/>
      <c r="D13" s="131"/>
      <c r="E13" s="131"/>
      <c r="F13" s="131"/>
      <c r="G13" s="131"/>
      <c r="H13" s="131"/>
      <c r="I13" s="131"/>
      <c r="J13" s="131"/>
      <c r="K13" s="131"/>
      <c r="L13" s="131"/>
      <c r="M13" s="131"/>
      <c r="N13" s="131"/>
      <c r="O13" s="131"/>
      <c r="P13" s="131"/>
      <c r="Q13" s="131"/>
      <c r="R13" s="131"/>
      <c r="S13" s="131"/>
      <c r="T13" s="131"/>
      <c r="U13" s="131"/>
      <c r="V13" s="132"/>
    </row>
    <row r="14" spans="1:27" x14ac:dyDescent="0.2">
      <c r="B14" s="130"/>
      <c r="C14" s="131"/>
      <c r="D14" s="131"/>
      <c r="E14" s="131"/>
      <c r="F14" s="131"/>
      <c r="G14" s="131"/>
      <c r="H14" s="131"/>
      <c r="I14" s="131"/>
      <c r="J14" s="131"/>
      <c r="K14" s="131"/>
      <c r="L14" s="131"/>
      <c r="M14" s="131"/>
      <c r="N14" s="131"/>
      <c r="O14" s="131"/>
      <c r="P14" s="131"/>
      <c r="Q14" s="131"/>
      <c r="R14" s="131"/>
      <c r="S14" s="131"/>
      <c r="T14" s="131"/>
      <c r="U14" s="131"/>
      <c r="V14" s="132"/>
    </row>
    <row r="15" spans="1:27" x14ac:dyDescent="0.2">
      <c r="B15" s="130"/>
      <c r="C15" s="131"/>
      <c r="D15" s="131"/>
      <c r="E15" s="131"/>
      <c r="F15" s="131"/>
      <c r="G15" s="131"/>
      <c r="H15" s="131"/>
      <c r="I15" s="131"/>
      <c r="J15" s="131"/>
      <c r="K15" s="131"/>
      <c r="L15" s="131"/>
      <c r="M15" s="131"/>
      <c r="N15" s="131"/>
      <c r="O15" s="131"/>
      <c r="P15" s="131"/>
      <c r="Q15" s="131"/>
      <c r="R15" s="131"/>
      <c r="S15" s="131"/>
      <c r="T15" s="131"/>
      <c r="U15" s="131"/>
      <c r="V15" s="132"/>
    </row>
    <row r="16" spans="1:27" x14ac:dyDescent="0.2">
      <c r="B16" s="130"/>
      <c r="C16" s="131"/>
      <c r="D16" s="131"/>
      <c r="E16" s="131"/>
      <c r="F16" s="131"/>
      <c r="G16" s="131"/>
      <c r="H16" s="131"/>
      <c r="I16" s="131"/>
      <c r="J16" s="131"/>
      <c r="K16" s="131"/>
      <c r="L16" s="131"/>
      <c r="M16" s="131"/>
      <c r="N16" s="131"/>
      <c r="O16" s="131"/>
      <c r="P16" s="131"/>
      <c r="Q16" s="131"/>
      <c r="R16" s="131"/>
      <c r="S16" s="131"/>
      <c r="T16" s="131"/>
      <c r="U16" s="131"/>
      <c r="V16" s="132"/>
    </row>
    <row r="17" spans="2:22" x14ac:dyDescent="0.2">
      <c r="B17" s="130"/>
      <c r="C17" s="131"/>
      <c r="D17" s="131"/>
      <c r="E17" s="131"/>
      <c r="F17" s="131"/>
      <c r="G17" s="131"/>
      <c r="H17" s="131"/>
      <c r="I17" s="131"/>
      <c r="J17" s="131"/>
      <c r="K17" s="131"/>
      <c r="L17" s="131"/>
      <c r="M17" s="131"/>
      <c r="N17" s="131"/>
      <c r="O17" s="131"/>
      <c r="P17" s="131"/>
      <c r="Q17" s="131"/>
      <c r="R17" s="131"/>
      <c r="S17" s="131"/>
      <c r="T17" s="131"/>
      <c r="U17" s="131"/>
      <c r="V17" s="132"/>
    </row>
    <row r="18" spans="2:22" x14ac:dyDescent="0.2">
      <c r="B18" s="130"/>
      <c r="C18" s="131"/>
      <c r="D18" s="131"/>
      <c r="E18" s="131"/>
      <c r="F18" s="131"/>
      <c r="G18" s="131"/>
      <c r="H18" s="131"/>
      <c r="I18" s="131"/>
      <c r="J18" s="131"/>
      <c r="K18" s="131"/>
      <c r="L18" s="131"/>
      <c r="M18" s="131"/>
      <c r="N18" s="131"/>
      <c r="O18" s="131"/>
      <c r="P18" s="131"/>
      <c r="Q18" s="131"/>
      <c r="R18" s="131"/>
      <c r="S18" s="131"/>
      <c r="T18" s="131"/>
      <c r="U18" s="131"/>
      <c r="V18" s="132"/>
    </row>
    <row r="19" spans="2:22" x14ac:dyDescent="0.2">
      <c r="B19" s="130"/>
      <c r="C19" s="131"/>
      <c r="D19" s="131"/>
      <c r="E19" s="131"/>
      <c r="F19" s="131"/>
      <c r="G19" s="131"/>
      <c r="H19" s="131"/>
      <c r="I19" s="131"/>
      <c r="J19" s="131"/>
      <c r="K19" s="131"/>
      <c r="L19" s="131"/>
      <c r="M19" s="131"/>
      <c r="N19" s="131"/>
      <c r="O19" s="131"/>
      <c r="P19" s="131"/>
      <c r="Q19" s="131"/>
      <c r="R19" s="131"/>
      <c r="S19" s="131"/>
      <c r="T19" s="131"/>
      <c r="U19" s="131"/>
      <c r="V19" s="132"/>
    </row>
    <row r="20" spans="2:22" x14ac:dyDescent="0.2">
      <c r="B20" s="130"/>
      <c r="C20" s="131"/>
      <c r="D20" s="131"/>
      <c r="E20" s="131"/>
      <c r="F20" s="131"/>
      <c r="G20" s="131"/>
      <c r="H20" s="131"/>
      <c r="I20" s="131"/>
      <c r="J20" s="131"/>
      <c r="K20" s="131"/>
      <c r="L20" s="131"/>
      <c r="M20" s="131"/>
      <c r="N20" s="131"/>
      <c r="O20" s="131"/>
      <c r="P20" s="131"/>
      <c r="Q20" s="131"/>
      <c r="R20" s="131"/>
      <c r="S20" s="131"/>
      <c r="T20" s="131"/>
      <c r="U20" s="131"/>
      <c r="V20" s="132"/>
    </row>
    <row r="21" spans="2:22" x14ac:dyDescent="0.2">
      <c r="B21" s="130"/>
      <c r="C21" s="131"/>
      <c r="D21" s="131"/>
      <c r="E21" s="131"/>
      <c r="F21" s="131"/>
      <c r="G21" s="131"/>
      <c r="H21" s="131"/>
      <c r="I21" s="131"/>
      <c r="J21" s="131"/>
      <c r="K21" s="131"/>
      <c r="L21" s="131"/>
      <c r="M21" s="131"/>
      <c r="N21" s="131"/>
      <c r="O21" s="131"/>
      <c r="P21" s="131"/>
      <c r="Q21" s="131"/>
      <c r="R21" s="131"/>
      <c r="S21" s="131"/>
      <c r="T21" s="131"/>
      <c r="U21" s="131"/>
      <c r="V21" s="132"/>
    </row>
    <row r="22" spans="2:22" x14ac:dyDescent="0.2">
      <c r="B22" s="130"/>
      <c r="C22" s="131"/>
      <c r="D22" s="131"/>
      <c r="E22" s="131"/>
      <c r="F22" s="131"/>
      <c r="G22" s="131"/>
      <c r="H22" s="131"/>
      <c r="I22" s="131"/>
      <c r="J22" s="131"/>
      <c r="K22" s="131"/>
      <c r="L22" s="131"/>
      <c r="M22" s="131"/>
      <c r="N22" s="131"/>
      <c r="O22" s="131"/>
      <c r="P22" s="131"/>
      <c r="Q22" s="131"/>
      <c r="R22" s="131"/>
      <c r="S22" s="131"/>
      <c r="T22" s="131"/>
      <c r="U22" s="131"/>
      <c r="V22" s="132"/>
    </row>
    <row r="23" spans="2:22" x14ac:dyDescent="0.2">
      <c r="B23" s="130"/>
      <c r="C23" s="131"/>
      <c r="D23" s="131"/>
      <c r="E23" s="131"/>
      <c r="F23" s="131"/>
      <c r="G23" s="131"/>
      <c r="H23" s="131"/>
      <c r="I23" s="131"/>
      <c r="J23" s="131"/>
      <c r="K23" s="131"/>
      <c r="L23" s="131"/>
      <c r="M23" s="131"/>
      <c r="N23" s="131"/>
      <c r="O23" s="131"/>
      <c r="P23" s="131"/>
      <c r="Q23" s="131"/>
      <c r="R23" s="131"/>
      <c r="S23" s="131"/>
      <c r="T23" s="131"/>
      <c r="U23" s="131"/>
      <c r="V23" s="132"/>
    </row>
    <row r="24" spans="2:22" x14ac:dyDescent="0.2">
      <c r="B24" s="130"/>
      <c r="C24" s="131"/>
      <c r="D24" s="131"/>
      <c r="E24" s="131"/>
      <c r="F24" s="131"/>
      <c r="G24" s="131"/>
      <c r="H24" s="131"/>
      <c r="I24" s="131"/>
      <c r="J24" s="131"/>
      <c r="K24" s="131"/>
      <c r="L24" s="131"/>
      <c r="M24" s="131"/>
      <c r="N24" s="131"/>
      <c r="O24" s="131"/>
      <c r="P24" s="131"/>
      <c r="Q24" s="131"/>
      <c r="R24" s="131"/>
      <c r="S24" s="131"/>
      <c r="T24" s="131"/>
      <c r="U24" s="131"/>
      <c r="V24" s="132"/>
    </row>
    <row r="25" spans="2:22" x14ac:dyDescent="0.2">
      <c r="B25" s="130"/>
      <c r="C25" s="131"/>
      <c r="D25" s="131"/>
      <c r="E25" s="131"/>
      <c r="F25" s="131"/>
      <c r="G25" s="131"/>
      <c r="H25" s="131"/>
      <c r="I25" s="131"/>
      <c r="J25" s="131"/>
      <c r="K25" s="131"/>
      <c r="L25" s="131"/>
      <c r="M25" s="131"/>
      <c r="N25" s="131"/>
      <c r="O25" s="131"/>
      <c r="P25" s="131"/>
      <c r="Q25" s="131"/>
      <c r="R25" s="131"/>
      <c r="S25" s="131"/>
      <c r="T25" s="131"/>
      <c r="U25" s="131"/>
      <c r="V25" s="132"/>
    </row>
    <row r="26" spans="2:22" x14ac:dyDescent="0.2">
      <c r="B26" s="130"/>
      <c r="C26" s="131"/>
      <c r="D26" s="131"/>
      <c r="E26" s="131"/>
      <c r="F26" s="131"/>
      <c r="G26" s="131"/>
      <c r="H26" s="131"/>
      <c r="I26" s="131"/>
      <c r="J26" s="131"/>
      <c r="K26" s="131"/>
      <c r="L26" s="131"/>
      <c r="M26" s="131"/>
      <c r="N26" s="131"/>
      <c r="O26" s="131"/>
      <c r="P26" s="131"/>
      <c r="Q26" s="131"/>
      <c r="R26" s="131"/>
      <c r="S26" s="131"/>
      <c r="T26" s="131"/>
      <c r="U26" s="131"/>
      <c r="V26" s="132"/>
    </row>
    <row r="27" spans="2:22" x14ac:dyDescent="0.2">
      <c r="B27" s="130"/>
      <c r="C27" s="131"/>
      <c r="D27" s="131"/>
      <c r="E27" s="131"/>
      <c r="F27" s="131"/>
      <c r="G27" s="131"/>
      <c r="H27" s="131"/>
      <c r="I27" s="131"/>
      <c r="J27" s="131"/>
      <c r="K27" s="131"/>
      <c r="L27" s="131"/>
      <c r="M27" s="131"/>
      <c r="N27" s="131"/>
      <c r="O27" s="131"/>
      <c r="P27" s="131"/>
      <c r="Q27" s="131"/>
      <c r="R27" s="131"/>
      <c r="S27" s="131"/>
      <c r="T27" s="131"/>
      <c r="U27" s="131"/>
      <c r="V27" s="132"/>
    </row>
    <row r="28" spans="2:22" x14ac:dyDescent="0.2">
      <c r="B28" s="130"/>
      <c r="C28" s="131"/>
      <c r="D28" s="131"/>
      <c r="E28" s="131"/>
      <c r="F28" s="131"/>
      <c r="G28" s="131"/>
      <c r="H28" s="131"/>
      <c r="I28" s="131"/>
      <c r="J28" s="131"/>
      <c r="K28" s="131"/>
      <c r="L28" s="131"/>
      <c r="M28" s="131"/>
      <c r="N28" s="131"/>
      <c r="O28" s="131"/>
      <c r="P28" s="131"/>
      <c r="Q28" s="131"/>
      <c r="R28" s="131"/>
      <c r="S28" s="131"/>
      <c r="T28" s="131"/>
      <c r="U28" s="131"/>
      <c r="V28" s="132"/>
    </row>
    <row r="29" spans="2:22" x14ac:dyDescent="0.2">
      <c r="B29" s="130"/>
      <c r="C29" s="131"/>
      <c r="D29" s="131"/>
      <c r="E29" s="131"/>
      <c r="F29" s="131"/>
      <c r="G29" s="131"/>
      <c r="H29" s="131"/>
      <c r="I29" s="131"/>
      <c r="J29" s="131"/>
      <c r="K29" s="131"/>
      <c r="L29" s="131"/>
      <c r="M29" s="131"/>
      <c r="N29" s="131"/>
      <c r="O29" s="131"/>
      <c r="P29" s="131"/>
      <c r="Q29" s="131"/>
      <c r="R29" s="131"/>
      <c r="S29" s="131"/>
      <c r="T29" s="131"/>
      <c r="U29" s="131"/>
      <c r="V29" s="132"/>
    </row>
    <row r="30" spans="2:22" x14ac:dyDescent="0.2">
      <c r="B30" s="130"/>
      <c r="C30" s="131"/>
      <c r="D30" s="131"/>
      <c r="E30" s="131"/>
      <c r="F30" s="131"/>
      <c r="G30" s="131"/>
      <c r="H30" s="131"/>
      <c r="I30" s="131"/>
      <c r="J30" s="131"/>
      <c r="K30" s="131"/>
      <c r="L30" s="131"/>
      <c r="M30" s="131"/>
      <c r="N30" s="131"/>
      <c r="O30" s="131"/>
      <c r="P30" s="131"/>
      <c r="Q30" s="131"/>
      <c r="R30" s="131"/>
      <c r="S30" s="131"/>
      <c r="T30" s="131"/>
      <c r="U30" s="131"/>
      <c r="V30" s="132"/>
    </row>
    <row r="31" spans="2:22" x14ac:dyDescent="0.2">
      <c r="B31" s="130"/>
      <c r="C31" s="131"/>
      <c r="D31" s="131"/>
      <c r="E31" s="131"/>
      <c r="F31" s="131"/>
      <c r="G31" s="131"/>
      <c r="H31" s="131"/>
      <c r="I31" s="131"/>
      <c r="J31" s="131"/>
      <c r="K31" s="131"/>
      <c r="L31" s="131"/>
      <c r="M31" s="131"/>
      <c r="N31" s="131"/>
      <c r="O31" s="131"/>
      <c r="P31" s="131"/>
      <c r="Q31" s="131"/>
      <c r="R31" s="131"/>
      <c r="S31" s="131"/>
      <c r="T31" s="131"/>
      <c r="U31" s="131"/>
      <c r="V31" s="132"/>
    </row>
    <row r="32" spans="2:22" x14ac:dyDescent="0.2">
      <c r="B32" s="130"/>
      <c r="C32" s="131"/>
      <c r="D32" s="131"/>
      <c r="E32" s="131"/>
      <c r="F32" s="131"/>
      <c r="G32" s="131"/>
      <c r="H32" s="131"/>
      <c r="I32" s="131"/>
      <c r="J32" s="131"/>
      <c r="K32" s="131"/>
      <c r="L32" s="131"/>
      <c r="M32" s="131"/>
      <c r="N32" s="131"/>
      <c r="O32" s="131"/>
      <c r="P32" s="131"/>
      <c r="Q32" s="131"/>
      <c r="R32" s="131"/>
      <c r="S32" s="131"/>
      <c r="T32" s="131"/>
      <c r="U32" s="131"/>
      <c r="V32" s="132"/>
    </row>
    <row r="33" spans="2:22" x14ac:dyDescent="0.2">
      <c r="B33" s="130"/>
      <c r="C33" s="131"/>
      <c r="D33" s="131"/>
      <c r="E33" s="131"/>
      <c r="F33" s="131"/>
      <c r="G33" s="131"/>
      <c r="H33" s="131"/>
      <c r="I33" s="131"/>
      <c r="J33" s="131"/>
      <c r="K33" s="131"/>
      <c r="L33" s="131"/>
      <c r="M33" s="131"/>
      <c r="N33" s="131"/>
      <c r="O33" s="131"/>
      <c r="P33" s="131"/>
      <c r="Q33" s="131"/>
      <c r="R33" s="131"/>
      <c r="S33" s="131"/>
      <c r="T33" s="131"/>
      <c r="U33" s="131"/>
      <c r="V33" s="132"/>
    </row>
    <row r="34" spans="2:22" x14ac:dyDescent="0.2">
      <c r="B34" s="130"/>
      <c r="C34" s="131"/>
      <c r="D34" s="131"/>
      <c r="E34" s="131"/>
      <c r="F34" s="131"/>
      <c r="G34" s="131"/>
      <c r="H34" s="131"/>
      <c r="I34" s="131"/>
      <c r="J34" s="131"/>
      <c r="K34" s="131"/>
      <c r="L34" s="131"/>
      <c r="M34" s="131"/>
      <c r="N34" s="131"/>
      <c r="O34" s="131"/>
      <c r="P34" s="131"/>
      <c r="Q34" s="131"/>
      <c r="R34" s="131"/>
      <c r="S34" s="131"/>
      <c r="T34" s="131"/>
      <c r="U34" s="131"/>
      <c r="V34" s="132"/>
    </row>
    <row r="35" spans="2:22" x14ac:dyDescent="0.2">
      <c r="B35" s="130"/>
      <c r="C35" s="131"/>
      <c r="D35" s="131"/>
      <c r="E35" s="131"/>
      <c r="F35" s="131"/>
      <c r="G35" s="131"/>
      <c r="H35" s="131"/>
      <c r="I35" s="131"/>
      <c r="J35" s="131"/>
      <c r="K35" s="131"/>
      <c r="L35" s="131"/>
      <c r="M35" s="131"/>
      <c r="N35" s="131"/>
      <c r="O35" s="131"/>
      <c r="P35" s="131"/>
      <c r="Q35" s="131"/>
      <c r="R35" s="131"/>
      <c r="S35" s="131"/>
      <c r="T35" s="131"/>
      <c r="U35" s="131"/>
      <c r="V35" s="132"/>
    </row>
    <row r="36" spans="2:22" x14ac:dyDescent="0.2">
      <c r="B36" s="130"/>
      <c r="C36" s="131"/>
      <c r="D36" s="131"/>
      <c r="E36" s="131"/>
      <c r="F36" s="131"/>
      <c r="G36" s="131"/>
      <c r="H36" s="131"/>
      <c r="I36" s="131"/>
      <c r="J36" s="131"/>
      <c r="K36" s="131"/>
      <c r="L36" s="131"/>
      <c r="M36" s="131"/>
      <c r="N36" s="131"/>
      <c r="O36" s="131"/>
      <c r="P36" s="131"/>
      <c r="Q36" s="131"/>
      <c r="R36" s="131"/>
      <c r="S36" s="131"/>
      <c r="T36" s="131"/>
      <c r="U36" s="131"/>
      <c r="V36" s="132"/>
    </row>
    <row r="37" spans="2:22" x14ac:dyDescent="0.2">
      <c r="B37" s="130"/>
      <c r="C37" s="131"/>
      <c r="D37" s="131"/>
      <c r="E37" s="131"/>
      <c r="F37" s="131"/>
      <c r="G37" s="131"/>
      <c r="H37" s="131"/>
      <c r="I37" s="131"/>
      <c r="J37" s="131"/>
      <c r="K37" s="131"/>
      <c r="L37" s="131"/>
      <c r="M37" s="131"/>
      <c r="N37" s="131"/>
      <c r="O37" s="131"/>
      <c r="P37" s="131"/>
      <c r="Q37" s="131"/>
      <c r="R37" s="131"/>
      <c r="S37" s="131"/>
      <c r="T37" s="131"/>
      <c r="U37" s="131"/>
      <c r="V37" s="132"/>
    </row>
    <row r="38" spans="2:22" x14ac:dyDescent="0.2">
      <c r="B38" s="130"/>
      <c r="C38" s="131"/>
      <c r="D38" s="131"/>
      <c r="E38" s="131"/>
      <c r="F38" s="131"/>
      <c r="G38" s="131"/>
      <c r="H38" s="131"/>
      <c r="I38" s="131"/>
      <c r="J38" s="131"/>
      <c r="K38" s="131"/>
      <c r="L38" s="131"/>
      <c r="M38" s="131"/>
      <c r="N38" s="131"/>
      <c r="O38" s="131"/>
      <c r="P38" s="131"/>
      <c r="Q38" s="131"/>
      <c r="R38" s="131"/>
      <c r="S38" s="131"/>
      <c r="T38" s="131"/>
      <c r="U38" s="131"/>
      <c r="V38" s="132"/>
    </row>
    <row r="39" spans="2:22" x14ac:dyDescent="0.2">
      <c r="B39" s="130"/>
      <c r="C39" s="131"/>
      <c r="D39" s="131"/>
      <c r="E39" s="131"/>
      <c r="F39" s="131"/>
      <c r="G39" s="131"/>
      <c r="H39" s="131"/>
      <c r="I39" s="131"/>
      <c r="J39" s="131"/>
      <c r="K39" s="131"/>
      <c r="L39" s="131"/>
      <c r="M39" s="131"/>
      <c r="N39" s="131"/>
      <c r="O39" s="131"/>
      <c r="P39" s="131"/>
      <c r="Q39" s="131"/>
      <c r="R39" s="131"/>
      <c r="S39" s="131"/>
      <c r="T39" s="131"/>
      <c r="U39" s="131"/>
      <c r="V39" s="132"/>
    </row>
    <row r="40" spans="2:22" x14ac:dyDescent="0.2">
      <c r="B40" s="130"/>
      <c r="C40" s="131"/>
      <c r="D40" s="131"/>
      <c r="E40" s="131"/>
      <c r="F40" s="131"/>
      <c r="G40" s="131"/>
      <c r="H40" s="131"/>
      <c r="I40" s="131"/>
      <c r="J40" s="131"/>
      <c r="K40" s="131"/>
      <c r="L40" s="131"/>
      <c r="M40" s="131"/>
      <c r="N40" s="131"/>
      <c r="O40" s="131"/>
      <c r="P40" s="131"/>
      <c r="Q40" s="131"/>
      <c r="R40" s="131"/>
      <c r="S40" s="131"/>
      <c r="T40" s="131"/>
      <c r="U40" s="131"/>
      <c r="V40" s="132"/>
    </row>
    <row r="41" spans="2:22" x14ac:dyDescent="0.2">
      <c r="B41" s="130"/>
      <c r="C41" s="131"/>
      <c r="D41" s="131"/>
      <c r="E41" s="131"/>
      <c r="F41" s="131"/>
      <c r="G41" s="131"/>
      <c r="H41" s="131"/>
      <c r="I41" s="131"/>
      <c r="J41" s="131"/>
      <c r="K41" s="131"/>
      <c r="L41" s="131"/>
      <c r="M41" s="131"/>
      <c r="N41" s="131"/>
      <c r="O41" s="131"/>
      <c r="P41" s="131"/>
      <c r="Q41" s="131"/>
      <c r="R41" s="131"/>
      <c r="S41" s="131"/>
      <c r="T41" s="131"/>
      <c r="U41" s="131"/>
      <c r="V41" s="132"/>
    </row>
    <row r="42" spans="2:22" ht="21.5" customHeight="1" thickBot="1" x14ac:dyDescent="0.25">
      <c r="B42" s="472"/>
      <c r="C42" s="473"/>
      <c r="D42" s="144"/>
      <c r="E42" s="133"/>
      <c r="F42" s="145"/>
      <c r="G42" s="474"/>
      <c r="H42" s="474"/>
      <c r="I42" s="473"/>
      <c r="J42" s="473"/>
      <c r="K42" s="474"/>
      <c r="L42" s="474"/>
      <c r="M42" s="133"/>
      <c r="N42" s="133"/>
      <c r="O42" s="133"/>
      <c r="P42" s="133"/>
      <c r="Q42" s="133"/>
      <c r="R42" s="133"/>
      <c r="S42" s="133"/>
      <c r="T42" s="133"/>
      <c r="U42" s="133"/>
      <c r="V42" s="134"/>
    </row>
  </sheetData>
  <mergeCells count="8">
    <mergeCell ref="S3:T3"/>
    <mergeCell ref="U3:V3"/>
    <mergeCell ref="B42:C42"/>
    <mergeCell ref="I42:J42"/>
    <mergeCell ref="K42:L42"/>
    <mergeCell ref="G42:H42"/>
    <mergeCell ref="G3:H3"/>
    <mergeCell ref="I3:K3"/>
  </mergeCells>
  <printOptions horizontalCentered="1" verticalCentered="1"/>
  <pageMargins left="0.23622047244094491" right="0.23622047244094491" top="0.74803149606299213" bottom="0.74803149606299213" header="0.31496062992125984" footer="0.31496062992125984"/>
  <pageSetup paperSize="9" scale="61" orientation="landscape" r:id="rId1"/>
  <ignoredErrors>
    <ignoredError sqref="A1" emptyCellReference="1"/>
  </ignoredErrors>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Save_Tab_to_PDF">
                <anchor moveWithCells="1" sizeWithCells="1">
                  <from>
                    <xdr:col>0</xdr:col>
                    <xdr:colOff>0</xdr:colOff>
                    <xdr:row>0</xdr:row>
                    <xdr:rowOff>0</xdr:rowOff>
                  </from>
                  <to>
                    <xdr:col>1</xdr:col>
                    <xdr:colOff>482600</xdr:colOff>
                    <xdr:row>0</xdr:row>
                    <xdr:rowOff>304800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Y41"/>
  <sheetViews>
    <sheetView zoomScale="70" zoomScaleNormal="70" workbookViewId="0">
      <selection activeCell="AJ1" sqref="AJ1"/>
    </sheetView>
  </sheetViews>
  <sheetFormatPr baseColWidth="10" defaultColWidth="8.6640625" defaultRowHeight="16" x14ac:dyDescent="0.2"/>
  <cols>
    <col min="1" max="1" width="8.6640625" style="123"/>
    <col min="2" max="2" width="10.33203125" style="123" customWidth="1"/>
    <col min="3" max="23" width="8.6640625" style="123"/>
    <col min="24" max="24" width="10.6640625" style="123" bestFit="1" customWidth="1"/>
    <col min="25" max="25" width="13.33203125" style="123" customWidth="1"/>
    <col min="26" max="16384" width="8.6640625" style="123"/>
  </cols>
  <sheetData>
    <row r="1" spans="1:25" ht="25.25" customHeight="1" x14ac:dyDescent="0.2">
      <c r="A1" s="230" t="str">
        <f ca="1">RIGHT(CELL("filename",ZZ1000),LEN(CELL("filename",ZZ1000))-FIND("]",CELL("filename",ZZ1000)))</f>
        <v>Spiders</v>
      </c>
    </row>
    <row r="2" spans="1:25" ht="11" customHeight="1" thickBot="1" x14ac:dyDescent="0.25">
      <c r="X2" s="122"/>
      <c r="Y2" s="122"/>
    </row>
    <row r="3" spans="1:25" ht="35" customHeight="1" x14ac:dyDescent="0.2">
      <c r="B3" s="199" t="s">
        <v>216</v>
      </c>
      <c r="C3" s="477" t="str">
        <f>'Front Sheet'!G2</f>
        <v>pmcgaw</v>
      </c>
      <c r="D3" s="477"/>
      <c r="E3" s="135"/>
      <c r="F3" s="135"/>
      <c r="G3" s="475"/>
      <c r="H3" s="475"/>
      <c r="I3" s="476"/>
      <c r="J3" s="476"/>
      <c r="K3" s="476"/>
      <c r="L3" s="478"/>
      <c r="M3" s="478"/>
      <c r="N3" s="478"/>
      <c r="O3" s="137"/>
      <c r="P3" s="137"/>
      <c r="Q3" s="137"/>
      <c r="R3" s="137"/>
      <c r="S3" s="469" t="s">
        <v>256</v>
      </c>
      <c r="T3" s="469"/>
      <c r="U3" s="470">
        <f ca="1">TODAY()</f>
        <v>43969</v>
      </c>
      <c r="V3" s="471"/>
      <c r="X3" s="122"/>
      <c r="Y3" s="122"/>
    </row>
    <row r="4" spans="1:25" ht="15.5" customHeight="1" x14ac:dyDescent="0.2">
      <c r="B4" s="138"/>
      <c r="C4" s="139"/>
      <c r="D4" s="139"/>
      <c r="E4" s="139"/>
      <c r="F4" s="139"/>
      <c r="G4" s="139"/>
      <c r="H4" s="139"/>
      <c r="I4" s="139"/>
      <c r="J4" s="139"/>
      <c r="K4" s="139"/>
      <c r="L4" s="139"/>
      <c r="M4" s="139"/>
      <c r="N4" s="139"/>
      <c r="O4" s="139"/>
      <c r="P4" s="139"/>
      <c r="Q4" s="139"/>
      <c r="R4" s="139"/>
      <c r="S4" s="139"/>
      <c r="T4" s="139"/>
      <c r="U4" s="139"/>
      <c r="V4" s="140"/>
      <c r="X4" s="122"/>
      <c r="Y4" s="122"/>
    </row>
    <row r="5" spans="1:25" ht="16.25" customHeight="1" x14ac:dyDescent="0.2">
      <c r="B5" s="138"/>
      <c r="C5" s="139"/>
      <c r="D5" s="139"/>
      <c r="E5" s="139"/>
      <c r="F5" s="139"/>
      <c r="G5" s="139"/>
      <c r="H5" s="139"/>
      <c r="I5" s="139"/>
      <c r="J5" s="139"/>
      <c r="K5" s="139"/>
      <c r="L5" s="139"/>
      <c r="M5" s="139"/>
      <c r="N5" s="139"/>
      <c r="O5" s="139"/>
      <c r="P5" s="139"/>
      <c r="Q5" s="139"/>
      <c r="R5" s="139"/>
      <c r="S5" s="139"/>
      <c r="T5" s="139"/>
      <c r="U5" s="139"/>
      <c r="V5" s="140"/>
      <c r="X5" s="122"/>
      <c r="Y5" s="122"/>
    </row>
    <row r="6" spans="1:25" x14ac:dyDescent="0.2">
      <c r="B6" s="138"/>
      <c r="C6" s="139"/>
      <c r="D6" s="139"/>
      <c r="E6" s="139"/>
      <c r="F6" s="139"/>
      <c r="G6" s="139"/>
      <c r="H6" s="139"/>
      <c r="I6" s="139"/>
      <c r="J6" s="139"/>
      <c r="K6" s="139"/>
      <c r="L6" s="139"/>
      <c r="M6" s="139"/>
      <c r="N6" s="139"/>
      <c r="O6" s="139"/>
      <c r="P6" s="139"/>
      <c r="Q6" s="139"/>
      <c r="R6" s="139"/>
      <c r="S6" s="139"/>
      <c r="T6" s="139"/>
      <c r="U6" s="139"/>
      <c r="V6" s="140"/>
      <c r="X6" s="122"/>
      <c r="Y6" s="122"/>
    </row>
    <row r="7" spans="1:25" x14ac:dyDescent="0.2">
      <c r="B7" s="138"/>
      <c r="C7" s="139"/>
      <c r="D7" s="139"/>
      <c r="E7" s="139"/>
      <c r="F7" s="139"/>
      <c r="G7" s="139"/>
      <c r="H7" s="139"/>
      <c r="I7" s="139"/>
      <c r="J7" s="139"/>
      <c r="K7" s="139"/>
      <c r="L7" s="139"/>
      <c r="M7" s="139"/>
      <c r="N7" s="139"/>
      <c r="O7" s="139"/>
      <c r="P7" s="139"/>
      <c r="Q7" s="139"/>
      <c r="R7" s="139"/>
      <c r="S7" s="139"/>
      <c r="T7" s="139"/>
      <c r="U7" s="139"/>
      <c r="V7" s="140"/>
      <c r="X7" s="122"/>
      <c r="Y7" s="122"/>
    </row>
    <row r="8" spans="1:25" x14ac:dyDescent="0.2">
      <c r="B8" s="138"/>
      <c r="C8" s="139"/>
      <c r="D8" s="139"/>
      <c r="E8" s="139"/>
      <c r="F8" s="139"/>
      <c r="G8" s="139"/>
      <c r="H8" s="139"/>
      <c r="I8" s="139"/>
      <c r="J8" s="139"/>
      <c r="K8" s="139"/>
      <c r="L8" s="139"/>
      <c r="M8" s="139"/>
      <c r="N8" s="139"/>
      <c r="O8" s="139"/>
      <c r="P8" s="139"/>
      <c r="Q8" s="139"/>
      <c r="R8" s="139"/>
      <c r="S8" s="139"/>
      <c r="T8" s="139"/>
      <c r="U8" s="139"/>
      <c r="V8" s="140"/>
    </row>
    <row r="9" spans="1:25" x14ac:dyDescent="0.2">
      <c r="B9" s="138"/>
      <c r="C9" s="139"/>
      <c r="D9" s="139"/>
      <c r="E9" s="139"/>
      <c r="F9" s="139"/>
      <c r="G9" s="139"/>
      <c r="H9" s="139"/>
      <c r="I9" s="139"/>
      <c r="J9" s="139"/>
      <c r="K9" s="139"/>
      <c r="L9" s="139"/>
      <c r="M9" s="139"/>
      <c r="N9" s="139"/>
      <c r="O9" s="139"/>
      <c r="P9" s="139"/>
      <c r="Q9" s="139"/>
      <c r="R9" s="139"/>
      <c r="S9" s="139"/>
      <c r="T9" s="139"/>
      <c r="U9" s="139"/>
      <c r="V9" s="140"/>
    </row>
    <row r="10" spans="1:25" x14ac:dyDescent="0.2">
      <c r="B10" s="138"/>
      <c r="C10" s="139"/>
      <c r="D10" s="139"/>
      <c r="E10" s="139"/>
      <c r="F10" s="139"/>
      <c r="G10" s="139"/>
      <c r="H10" s="139"/>
      <c r="I10" s="139"/>
      <c r="J10" s="139"/>
      <c r="K10" s="139"/>
      <c r="L10" s="139"/>
      <c r="M10" s="139"/>
      <c r="N10" s="139"/>
      <c r="O10" s="139"/>
      <c r="P10" s="139"/>
      <c r="Q10" s="139"/>
      <c r="R10" s="139"/>
      <c r="S10" s="139"/>
      <c r="T10" s="139"/>
      <c r="U10" s="139"/>
      <c r="V10" s="140"/>
    </row>
    <row r="11" spans="1:25" x14ac:dyDescent="0.2">
      <c r="B11" s="138"/>
      <c r="C11" s="139"/>
      <c r="D11" s="139"/>
      <c r="E11" s="139"/>
      <c r="F11" s="139"/>
      <c r="G11" s="139"/>
      <c r="H11" s="139"/>
      <c r="I11" s="139"/>
      <c r="J11" s="139"/>
      <c r="K11" s="139"/>
      <c r="L11" s="139"/>
      <c r="M11" s="139"/>
      <c r="N11" s="139"/>
      <c r="O11" s="139"/>
      <c r="P11" s="139"/>
      <c r="Q11" s="139"/>
      <c r="R11" s="139"/>
      <c r="S11" s="139"/>
      <c r="T11" s="139"/>
      <c r="U11" s="139"/>
      <c r="V11" s="140"/>
    </row>
    <row r="12" spans="1:25" x14ac:dyDescent="0.2">
      <c r="B12" s="138"/>
      <c r="C12" s="139"/>
      <c r="D12" s="139"/>
      <c r="E12" s="139"/>
      <c r="F12" s="139"/>
      <c r="G12" s="139"/>
      <c r="H12" s="139"/>
      <c r="I12" s="139"/>
      <c r="J12" s="139"/>
      <c r="K12" s="139"/>
      <c r="L12" s="139"/>
      <c r="M12" s="139"/>
      <c r="N12" s="139"/>
      <c r="O12" s="139"/>
      <c r="P12" s="139"/>
      <c r="Q12" s="139"/>
      <c r="R12" s="139"/>
      <c r="S12" s="139"/>
      <c r="T12" s="139"/>
      <c r="U12" s="139"/>
      <c r="V12" s="140"/>
    </row>
    <row r="13" spans="1:25" x14ac:dyDescent="0.2">
      <c r="B13" s="138"/>
      <c r="C13" s="139"/>
      <c r="D13" s="139"/>
      <c r="E13" s="139"/>
      <c r="F13" s="139"/>
      <c r="G13" s="139"/>
      <c r="H13" s="139"/>
      <c r="I13" s="139"/>
      <c r="J13" s="139"/>
      <c r="K13" s="139"/>
      <c r="L13" s="139"/>
      <c r="M13" s="139"/>
      <c r="N13" s="139"/>
      <c r="O13" s="139"/>
      <c r="P13" s="139"/>
      <c r="Q13" s="139"/>
      <c r="R13" s="139"/>
      <c r="S13" s="139"/>
      <c r="T13" s="139"/>
      <c r="U13" s="139"/>
      <c r="V13" s="140"/>
    </row>
    <row r="14" spans="1:25" x14ac:dyDescent="0.2">
      <c r="B14" s="138"/>
      <c r="C14" s="139"/>
      <c r="D14" s="139"/>
      <c r="E14" s="139"/>
      <c r="F14" s="139"/>
      <c r="G14" s="139"/>
      <c r="H14" s="139"/>
      <c r="I14" s="139"/>
      <c r="J14" s="139"/>
      <c r="K14" s="139"/>
      <c r="L14" s="139"/>
      <c r="M14" s="139"/>
      <c r="N14" s="139"/>
      <c r="O14" s="139"/>
      <c r="P14" s="139"/>
      <c r="Q14" s="139"/>
      <c r="R14" s="139"/>
      <c r="S14" s="139"/>
      <c r="T14" s="139"/>
      <c r="U14" s="139"/>
      <c r="V14" s="140"/>
    </row>
    <row r="15" spans="1:25" x14ac:dyDescent="0.2">
      <c r="B15" s="138"/>
      <c r="C15" s="139"/>
      <c r="D15" s="139"/>
      <c r="E15" s="139"/>
      <c r="F15" s="139"/>
      <c r="G15" s="139"/>
      <c r="H15" s="139"/>
      <c r="I15" s="139"/>
      <c r="J15" s="139"/>
      <c r="K15" s="139"/>
      <c r="L15" s="139"/>
      <c r="M15" s="139"/>
      <c r="N15" s="139"/>
      <c r="O15" s="139"/>
      <c r="P15" s="139"/>
      <c r="Q15" s="139"/>
      <c r="R15" s="139"/>
      <c r="S15" s="139"/>
      <c r="T15" s="139"/>
      <c r="U15" s="139"/>
      <c r="V15" s="140"/>
    </row>
    <row r="16" spans="1:25" x14ac:dyDescent="0.2">
      <c r="B16" s="138"/>
      <c r="C16" s="139"/>
      <c r="D16" s="139"/>
      <c r="E16" s="139"/>
      <c r="F16" s="139"/>
      <c r="G16" s="139"/>
      <c r="H16" s="139"/>
      <c r="I16" s="139"/>
      <c r="J16" s="139"/>
      <c r="K16" s="139"/>
      <c r="L16" s="139"/>
      <c r="M16" s="139"/>
      <c r="N16" s="139"/>
      <c r="O16" s="139"/>
      <c r="P16" s="139"/>
      <c r="Q16" s="139"/>
      <c r="R16" s="139"/>
      <c r="S16" s="139"/>
      <c r="T16" s="139"/>
      <c r="U16" s="139"/>
      <c r="V16" s="140"/>
    </row>
    <row r="17" spans="2:22" x14ac:dyDescent="0.2">
      <c r="B17" s="138"/>
      <c r="C17" s="139"/>
      <c r="D17" s="139"/>
      <c r="E17" s="139"/>
      <c r="F17" s="139"/>
      <c r="G17" s="139"/>
      <c r="H17" s="139"/>
      <c r="I17" s="139"/>
      <c r="J17" s="139"/>
      <c r="K17" s="139"/>
      <c r="L17" s="139"/>
      <c r="M17" s="139"/>
      <c r="N17" s="139"/>
      <c r="O17" s="139"/>
      <c r="P17" s="139"/>
      <c r="Q17" s="139"/>
      <c r="R17" s="139"/>
      <c r="S17" s="139"/>
      <c r="T17" s="139"/>
      <c r="U17" s="139"/>
      <c r="V17" s="140"/>
    </row>
    <row r="18" spans="2:22" x14ac:dyDescent="0.2">
      <c r="B18" s="138"/>
      <c r="C18" s="139"/>
      <c r="D18" s="139"/>
      <c r="E18" s="139"/>
      <c r="F18" s="139"/>
      <c r="G18" s="139"/>
      <c r="H18" s="139"/>
      <c r="I18" s="139"/>
      <c r="J18" s="139"/>
      <c r="K18" s="139"/>
      <c r="L18" s="139"/>
      <c r="M18" s="139"/>
      <c r="N18" s="139"/>
      <c r="O18" s="139"/>
      <c r="P18" s="139"/>
      <c r="Q18" s="139"/>
      <c r="R18" s="139"/>
      <c r="S18" s="139"/>
      <c r="T18" s="139"/>
      <c r="U18" s="139"/>
      <c r="V18" s="140"/>
    </row>
    <row r="19" spans="2:22" x14ac:dyDescent="0.2">
      <c r="B19" s="138"/>
      <c r="C19" s="139"/>
      <c r="D19" s="139"/>
      <c r="E19" s="139"/>
      <c r="F19" s="139"/>
      <c r="G19" s="139"/>
      <c r="H19" s="139"/>
      <c r="I19" s="139"/>
      <c r="J19" s="139"/>
      <c r="K19" s="139"/>
      <c r="L19" s="139"/>
      <c r="M19" s="139"/>
      <c r="N19" s="139"/>
      <c r="O19" s="139"/>
      <c r="P19" s="139"/>
      <c r="Q19" s="139"/>
      <c r="R19" s="139"/>
      <c r="S19" s="139"/>
      <c r="T19" s="139"/>
      <c r="U19" s="139"/>
      <c r="V19" s="140"/>
    </row>
    <row r="20" spans="2:22" x14ac:dyDescent="0.2">
      <c r="B20" s="138"/>
      <c r="C20" s="139"/>
      <c r="D20" s="139"/>
      <c r="E20" s="139"/>
      <c r="F20" s="139"/>
      <c r="G20" s="139"/>
      <c r="H20" s="139"/>
      <c r="I20" s="139"/>
      <c r="J20" s="139"/>
      <c r="K20" s="139"/>
      <c r="L20" s="139"/>
      <c r="M20" s="139"/>
      <c r="N20" s="139"/>
      <c r="O20" s="139"/>
      <c r="P20" s="139"/>
      <c r="Q20" s="139"/>
      <c r="R20" s="139"/>
      <c r="S20" s="139"/>
      <c r="T20" s="139"/>
      <c r="U20" s="139"/>
      <c r="V20" s="140"/>
    </row>
    <row r="21" spans="2:22" x14ac:dyDescent="0.2">
      <c r="B21" s="138"/>
      <c r="C21" s="139"/>
      <c r="D21" s="139"/>
      <c r="E21" s="139"/>
      <c r="F21" s="139"/>
      <c r="G21" s="139"/>
      <c r="H21" s="139"/>
      <c r="I21" s="139"/>
      <c r="J21" s="139"/>
      <c r="K21" s="139"/>
      <c r="L21" s="139"/>
      <c r="M21" s="139"/>
      <c r="N21" s="139"/>
      <c r="O21" s="139"/>
      <c r="P21" s="139"/>
      <c r="Q21" s="139"/>
      <c r="R21" s="139"/>
      <c r="S21" s="139"/>
      <c r="T21" s="139"/>
      <c r="U21" s="139"/>
      <c r="V21" s="140"/>
    </row>
    <row r="22" spans="2:22" x14ac:dyDescent="0.2">
      <c r="B22" s="138"/>
      <c r="C22" s="139"/>
      <c r="D22" s="139"/>
      <c r="E22" s="139"/>
      <c r="F22" s="139"/>
      <c r="G22" s="139"/>
      <c r="H22" s="139"/>
      <c r="I22" s="139"/>
      <c r="J22" s="139"/>
      <c r="K22" s="139"/>
      <c r="L22" s="139"/>
      <c r="M22" s="139"/>
      <c r="N22" s="139"/>
      <c r="O22" s="139"/>
      <c r="P22" s="139"/>
      <c r="Q22" s="139"/>
      <c r="R22" s="139"/>
      <c r="S22" s="139"/>
      <c r="T22" s="139"/>
      <c r="U22" s="139"/>
      <c r="V22" s="140"/>
    </row>
    <row r="23" spans="2:22" x14ac:dyDescent="0.2">
      <c r="B23" s="138"/>
      <c r="C23" s="139"/>
      <c r="D23" s="139"/>
      <c r="E23" s="139"/>
      <c r="F23" s="139"/>
      <c r="G23" s="139"/>
      <c r="H23" s="139"/>
      <c r="I23" s="139"/>
      <c r="J23" s="139"/>
      <c r="K23" s="139"/>
      <c r="L23" s="139"/>
      <c r="M23" s="139"/>
      <c r="N23" s="139"/>
      <c r="O23" s="139"/>
      <c r="P23" s="139"/>
      <c r="Q23" s="139"/>
      <c r="R23" s="139"/>
      <c r="S23" s="139"/>
      <c r="T23" s="139"/>
      <c r="U23" s="139"/>
      <c r="V23" s="140"/>
    </row>
    <row r="24" spans="2:22" x14ac:dyDescent="0.2">
      <c r="B24" s="138"/>
      <c r="C24" s="139"/>
      <c r="D24" s="139"/>
      <c r="E24" s="139"/>
      <c r="F24" s="139"/>
      <c r="G24" s="139"/>
      <c r="H24" s="139"/>
      <c r="I24" s="139"/>
      <c r="J24" s="139"/>
      <c r="K24" s="139"/>
      <c r="L24" s="139"/>
      <c r="M24" s="139"/>
      <c r="N24" s="139"/>
      <c r="O24" s="139"/>
      <c r="P24" s="139"/>
      <c r="Q24" s="139"/>
      <c r="R24" s="139"/>
      <c r="S24" s="139"/>
      <c r="T24" s="139"/>
      <c r="U24" s="139"/>
      <c r="V24" s="140"/>
    </row>
    <row r="25" spans="2:22" x14ac:dyDescent="0.2">
      <c r="B25" s="138"/>
      <c r="C25" s="139"/>
      <c r="D25" s="139"/>
      <c r="E25" s="139"/>
      <c r="F25" s="139"/>
      <c r="G25" s="139"/>
      <c r="H25" s="139"/>
      <c r="I25" s="139"/>
      <c r="J25" s="139"/>
      <c r="K25" s="139"/>
      <c r="L25" s="139"/>
      <c r="M25" s="139"/>
      <c r="N25" s="139"/>
      <c r="O25" s="139"/>
      <c r="P25" s="139"/>
      <c r="Q25" s="139"/>
      <c r="R25" s="139"/>
      <c r="S25" s="139"/>
      <c r="T25" s="139"/>
      <c r="U25" s="139"/>
      <c r="V25" s="140"/>
    </row>
    <row r="26" spans="2:22" x14ac:dyDescent="0.2">
      <c r="B26" s="138"/>
      <c r="C26" s="139"/>
      <c r="D26" s="139"/>
      <c r="E26" s="139"/>
      <c r="F26" s="139"/>
      <c r="G26" s="139"/>
      <c r="H26" s="139"/>
      <c r="I26" s="139"/>
      <c r="J26" s="139"/>
      <c r="K26" s="139"/>
      <c r="L26" s="139"/>
      <c r="M26" s="139"/>
      <c r="N26" s="139"/>
      <c r="O26" s="139"/>
      <c r="P26" s="139"/>
      <c r="Q26" s="139"/>
      <c r="R26" s="139"/>
      <c r="S26" s="139"/>
      <c r="T26" s="139"/>
      <c r="U26" s="139"/>
      <c r="V26" s="140"/>
    </row>
    <row r="27" spans="2:22" x14ac:dyDescent="0.2">
      <c r="B27" s="138"/>
      <c r="C27" s="139"/>
      <c r="D27" s="139"/>
      <c r="E27" s="139"/>
      <c r="F27" s="139"/>
      <c r="G27" s="139"/>
      <c r="H27" s="139"/>
      <c r="I27" s="139"/>
      <c r="J27" s="139"/>
      <c r="K27" s="139"/>
      <c r="L27" s="139"/>
      <c r="M27" s="139"/>
      <c r="N27" s="139"/>
      <c r="O27" s="139"/>
      <c r="P27" s="139"/>
      <c r="Q27" s="139"/>
      <c r="R27" s="139"/>
      <c r="S27" s="139"/>
      <c r="T27" s="139"/>
      <c r="U27" s="139"/>
      <c r="V27" s="140"/>
    </row>
    <row r="28" spans="2:22" x14ac:dyDescent="0.2">
      <c r="B28" s="138"/>
      <c r="C28" s="139"/>
      <c r="D28" s="139"/>
      <c r="E28" s="139"/>
      <c r="F28" s="139"/>
      <c r="G28" s="139"/>
      <c r="H28" s="139"/>
      <c r="I28" s="139"/>
      <c r="J28" s="139"/>
      <c r="K28" s="139"/>
      <c r="L28" s="139"/>
      <c r="M28" s="139"/>
      <c r="N28" s="139"/>
      <c r="O28" s="139"/>
      <c r="P28" s="139"/>
      <c r="Q28" s="139"/>
      <c r="R28" s="139"/>
      <c r="S28" s="139"/>
      <c r="T28" s="139"/>
      <c r="U28" s="139"/>
      <c r="V28" s="140"/>
    </row>
    <row r="29" spans="2:22" x14ac:dyDescent="0.2">
      <c r="B29" s="138"/>
      <c r="C29" s="139"/>
      <c r="D29" s="139"/>
      <c r="E29" s="139"/>
      <c r="F29" s="139"/>
      <c r="G29" s="139"/>
      <c r="H29" s="139"/>
      <c r="I29" s="139"/>
      <c r="J29" s="139"/>
      <c r="K29" s="139"/>
      <c r="L29" s="139"/>
      <c r="M29" s="139"/>
      <c r="N29" s="139"/>
      <c r="O29" s="139"/>
      <c r="P29" s="139"/>
      <c r="Q29" s="139"/>
      <c r="R29" s="139"/>
      <c r="S29" s="139"/>
      <c r="T29" s="139"/>
      <c r="U29" s="139"/>
      <c r="V29" s="140"/>
    </row>
    <row r="30" spans="2:22" x14ac:dyDescent="0.2">
      <c r="B30" s="138"/>
      <c r="C30" s="139"/>
      <c r="D30" s="139"/>
      <c r="E30" s="139"/>
      <c r="F30" s="139"/>
      <c r="G30" s="139"/>
      <c r="H30" s="139"/>
      <c r="I30" s="139"/>
      <c r="J30" s="139"/>
      <c r="K30" s="139"/>
      <c r="L30" s="139"/>
      <c r="M30" s="139"/>
      <c r="N30" s="139"/>
      <c r="O30" s="139"/>
      <c r="P30" s="139"/>
      <c r="Q30" s="139"/>
      <c r="R30" s="139"/>
      <c r="S30" s="139"/>
      <c r="T30" s="139"/>
      <c r="U30" s="139"/>
      <c r="V30" s="140"/>
    </row>
    <row r="31" spans="2:22" x14ac:dyDescent="0.2">
      <c r="B31" s="138"/>
      <c r="C31" s="139"/>
      <c r="D31" s="139"/>
      <c r="E31" s="139"/>
      <c r="F31" s="139"/>
      <c r="G31" s="139"/>
      <c r="H31" s="139"/>
      <c r="I31" s="139"/>
      <c r="J31" s="139"/>
      <c r="K31" s="139"/>
      <c r="L31" s="139"/>
      <c r="M31" s="139"/>
      <c r="N31" s="139"/>
      <c r="O31" s="139"/>
      <c r="P31" s="139"/>
      <c r="Q31" s="139"/>
      <c r="R31" s="139"/>
      <c r="S31" s="139"/>
      <c r="T31" s="139"/>
      <c r="U31" s="139"/>
      <c r="V31" s="140"/>
    </row>
    <row r="32" spans="2:22" x14ac:dyDescent="0.2">
      <c r="B32" s="138"/>
      <c r="C32" s="139"/>
      <c r="D32" s="139"/>
      <c r="E32" s="139"/>
      <c r="F32" s="139"/>
      <c r="G32" s="139"/>
      <c r="H32" s="139"/>
      <c r="I32" s="139"/>
      <c r="J32" s="139"/>
      <c r="K32" s="139"/>
      <c r="L32" s="139"/>
      <c r="M32" s="139"/>
      <c r="N32" s="139"/>
      <c r="O32" s="139"/>
      <c r="P32" s="139"/>
      <c r="Q32" s="139"/>
      <c r="R32" s="139"/>
      <c r="S32" s="139"/>
      <c r="T32" s="139"/>
      <c r="U32" s="139"/>
      <c r="V32" s="140"/>
    </row>
    <row r="33" spans="2:22" x14ac:dyDescent="0.2">
      <c r="B33" s="138"/>
      <c r="C33" s="139"/>
      <c r="D33" s="139"/>
      <c r="E33" s="139"/>
      <c r="F33" s="139"/>
      <c r="G33" s="139"/>
      <c r="H33" s="139"/>
      <c r="I33" s="139"/>
      <c r="J33" s="139"/>
      <c r="K33" s="139"/>
      <c r="L33" s="139"/>
      <c r="M33" s="139"/>
      <c r="N33" s="139"/>
      <c r="O33" s="139"/>
      <c r="P33" s="139"/>
      <c r="Q33" s="139"/>
      <c r="R33" s="139"/>
      <c r="S33" s="139"/>
      <c r="T33" s="139"/>
      <c r="U33" s="139"/>
      <c r="V33" s="140"/>
    </row>
    <row r="34" spans="2:22" x14ac:dyDescent="0.2">
      <c r="B34" s="138"/>
      <c r="C34" s="139"/>
      <c r="D34" s="139"/>
      <c r="E34" s="139"/>
      <c r="F34" s="139"/>
      <c r="G34" s="139"/>
      <c r="H34" s="139"/>
      <c r="I34" s="139"/>
      <c r="J34" s="139"/>
      <c r="K34" s="139"/>
      <c r="L34" s="139"/>
      <c r="M34" s="139"/>
      <c r="N34" s="139"/>
      <c r="O34" s="139"/>
      <c r="P34" s="139"/>
      <c r="Q34" s="139"/>
      <c r="R34" s="139"/>
      <c r="S34" s="139"/>
      <c r="T34" s="139"/>
      <c r="U34" s="139"/>
      <c r="V34" s="140"/>
    </row>
    <row r="35" spans="2:22" x14ac:dyDescent="0.2">
      <c r="B35" s="138"/>
      <c r="C35" s="139"/>
      <c r="D35" s="139"/>
      <c r="E35" s="139"/>
      <c r="F35" s="139"/>
      <c r="G35" s="139"/>
      <c r="H35" s="139"/>
      <c r="I35" s="139"/>
      <c r="J35" s="139"/>
      <c r="K35" s="139"/>
      <c r="L35" s="139"/>
      <c r="M35" s="139"/>
      <c r="N35" s="139"/>
      <c r="O35" s="139"/>
      <c r="P35" s="139"/>
      <c r="Q35" s="139"/>
      <c r="R35" s="139"/>
      <c r="S35" s="139"/>
      <c r="T35" s="139"/>
      <c r="U35" s="139"/>
      <c r="V35" s="140"/>
    </row>
    <row r="36" spans="2:22" x14ac:dyDescent="0.2">
      <c r="B36" s="138"/>
      <c r="C36" s="139"/>
      <c r="D36" s="139"/>
      <c r="E36" s="139"/>
      <c r="F36" s="139"/>
      <c r="G36" s="139"/>
      <c r="H36" s="139"/>
      <c r="I36" s="139"/>
      <c r="J36" s="139"/>
      <c r="K36" s="139"/>
      <c r="L36" s="139"/>
      <c r="M36" s="139"/>
      <c r="N36" s="139"/>
      <c r="O36" s="139"/>
      <c r="P36" s="139"/>
      <c r="Q36" s="139"/>
      <c r="R36" s="139"/>
      <c r="S36" s="139"/>
      <c r="T36" s="139"/>
      <c r="U36" s="139"/>
      <c r="V36" s="140"/>
    </row>
    <row r="37" spans="2:22" x14ac:dyDescent="0.2">
      <c r="B37" s="138"/>
      <c r="C37" s="139"/>
      <c r="D37" s="139"/>
      <c r="E37" s="139"/>
      <c r="F37" s="139"/>
      <c r="G37" s="139"/>
      <c r="H37" s="139"/>
      <c r="I37" s="139"/>
      <c r="J37" s="139"/>
      <c r="K37" s="139"/>
      <c r="L37" s="139"/>
      <c r="M37" s="139"/>
      <c r="N37" s="139"/>
      <c r="O37" s="139"/>
      <c r="P37" s="139"/>
      <c r="Q37" s="139"/>
      <c r="R37" s="139"/>
      <c r="S37" s="139"/>
      <c r="T37" s="139"/>
      <c r="U37" s="139"/>
      <c r="V37" s="140"/>
    </row>
    <row r="38" spans="2:22" x14ac:dyDescent="0.2">
      <c r="B38" s="138"/>
      <c r="C38" s="139"/>
      <c r="D38" s="139"/>
      <c r="E38" s="139"/>
      <c r="F38" s="139"/>
      <c r="G38" s="139"/>
      <c r="H38" s="139"/>
      <c r="I38" s="139"/>
      <c r="J38" s="139"/>
      <c r="K38" s="139"/>
      <c r="L38" s="139"/>
      <c r="M38" s="139"/>
      <c r="N38" s="139"/>
      <c r="O38" s="139"/>
      <c r="P38" s="139"/>
      <c r="Q38" s="139"/>
      <c r="R38" s="139"/>
      <c r="S38" s="139"/>
      <c r="T38" s="139"/>
      <c r="U38" s="139"/>
      <c r="V38" s="140"/>
    </row>
    <row r="39" spans="2:22" x14ac:dyDescent="0.2">
      <c r="B39" s="138"/>
      <c r="C39" s="139"/>
      <c r="D39" s="139"/>
      <c r="E39" s="139"/>
      <c r="F39" s="139"/>
      <c r="G39" s="139"/>
      <c r="H39" s="139"/>
      <c r="I39" s="139"/>
      <c r="J39" s="139"/>
      <c r="K39" s="139"/>
      <c r="L39" s="139"/>
      <c r="M39" s="139"/>
      <c r="N39" s="139"/>
      <c r="O39" s="139"/>
      <c r="P39" s="139"/>
      <c r="Q39" s="139"/>
      <c r="R39" s="139"/>
      <c r="S39" s="139"/>
      <c r="T39" s="139"/>
      <c r="U39" s="139"/>
      <c r="V39" s="140"/>
    </row>
    <row r="40" spans="2:22" x14ac:dyDescent="0.2">
      <c r="B40" s="138"/>
      <c r="C40" s="139"/>
      <c r="D40" s="139"/>
      <c r="E40" s="139"/>
      <c r="F40" s="139"/>
      <c r="G40" s="139"/>
      <c r="H40" s="139"/>
      <c r="I40" s="139"/>
      <c r="J40" s="139"/>
      <c r="K40" s="139"/>
      <c r="L40" s="139"/>
      <c r="M40" s="139"/>
      <c r="N40" s="139"/>
      <c r="O40" s="139"/>
      <c r="P40" s="139"/>
      <c r="Q40" s="139"/>
      <c r="R40" s="139"/>
      <c r="S40" s="139"/>
      <c r="T40" s="139"/>
      <c r="U40" s="139"/>
      <c r="V40" s="140"/>
    </row>
    <row r="41" spans="2:22" ht="17" thickBot="1" x14ac:dyDescent="0.25">
      <c r="B41" s="141"/>
      <c r="C41" s="142"/>
      <c r="D41" s="142"/>
      <c r="E41" s="142"/>
      <c r="F41" s="142"/>
      <c r="G41" s="142"/>
      <c r="H41" s="142"/>
      <c r="I41" s="142"/>
      <c r="J41" s="142"/>
      <c r="K41" s="142"/>
      <c r="L41" s="142"/>
      <c r="M41" s="142"/>
      <c r="N41" s="142"/>
      <c r="O41" s="142"/>
      <c r="P41" s="142"/>
      <c r="Q41" s="142"/>
      <c r="R41" s="142"/>
      <c r="S41" s="142"/>
      <c r="T41" s="142"/>
      <c r="U41" s="142"/>
      <c r="V41" s="143"/>
    </row>
  </sheetData>
  <mergeCells count="6">
    <mergeCell ref="C3:D3"/>
    <mergeCell ref="U3:V3"/>
    <mergeCell ref="I3:K3"/>
    <mergeCell ref="L3:N3"/>
    <mergeCell ref="G3:H3"/>
    <mergeCell ref="S3:T3"/>
  </mergeCells>
  <printOptions horizontalCentered="1" verticalCentered="1"/>
  <pageMargins left="0.23622047244094491" right="0.23622047244094491" top="0.74803149606299213" bottom="0.74803149606299213" header="0.31496062992125984" footer="0.31496062992125984"/>
  <pageSetup paperSize="9" scale="7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print="0" autoFill="0" autoPict="0" macro="[0]!Save_Tab_to_PDF">
                <anchor moveWithCells="1" sizeWithCells="1">
                  <from>
                    <xdr:col>0</xdr:col>
                    <xdr:colOff>0</xdr:colOff>
                    <xdr:row>0</xdr:row>
                    <xdr:rowOff>0</xdr:rowOff>
                  </from>
                  <to>
                    <xdr:col>1</xdr:col>
                    <xdr:colOff>304800</xdr:colOff>
                    <xdr:row>0</xdr:row>
                    <xdr:rowOff>304800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K106"/>
  <sheetViews>
    <sheetView topLeftCell="A20" zoomScale="80" zoomScaleNormal="80" workbookViewId="0">
      <selection activeCell="D42" sqref="D42"/>
    </sheetView>
  </sheetViews>
  <sheetFormatPr baseColWidth="10" defaultColWidth="8.83203125" defaultRowHeight="16" x14ac:dyDescent="0.2"/>
  <cols>
    <col min="1" max="1" width="2.6640625" customWidth="1"/>
    <col min="2" max="2" width="28.33203125" customWidth="1"/>
    <col min="3" max="4" width="39.83203125" customWidth="1"/>
    <col min="5" max="5" width="29.1640625" style="57" bestFit="1" customWidth="1"/>
    <col min="6" max="6" width="12" style="56" customWidth="1"/>
    <col min="7" max="7" width="12" customWidth="1"/>
    <col min="8" max="8" width="18" customWidth="1"/>
    <col min="9" max="9" width="12" style="56" customWidth="1"/>
    <col min="10" max="10" width="12" customWidth="1"/>
    <col min="11" max="11" width="2.6640625" customWidth="1"/>
  </cols>
  <sheetData>
    <row r="1" spans="1:11" ht="25.25" customHeight="1" x14ac:dyDescent="0.25">
      <c r="A1" s="229" t="str">
        <f ca="1">RIGHT(CELL("filename",ZZ999),LEN(CELL("filename",ZZ999))-FIND("]",CELL("filename",ZZ999)))</f>
        <v>Module Results</v>
      </c>
      <c r="B1" s="241"/>
      <c r="C1" s="241"/>
      <c r="D1" s="241"/>
      <c r="E1" s="241"/>
      <c r="F1" s="241"/>
      <c r="G1" s="241"/>
      <c r="H1" s="222" t="s">
        <v>256</v>
      </c>
      <c r="I1" s="492">
        <f ca="1">TODAY()</f>
        <v>43969</v>
      </c>
      <c r="J1" s="492"/>
      <c r="K1" s="124"/>
    </row>
    <row r="2" spans="1:11" ht="25" x14ac:dyDescent="0.25">
      <c r="A2" s="125"/>
      <c r="B2" s="491" t="s">
        <v>214</v>
      </c>
      <c r="C2" s="491"/>
      <c r="D2" s="491"/>
      <c r="E2" s="491"/>
      <c r="F2" s="491"/>
      <c r="G2" s="491"/>
      <c r="H2" s="491"/>
      <c r="I2" s="491"/>
      <c r="J2" s="491"/>
      <c r="K2" s="126"/>
    </row>
    <row r="3" spans="1:11" ht="17" thickBot="1" x14ac:dyDescent="0.25">
      <c r="A3" s="125"/>
      <c r="B3" s="61"/>
      <c r="C3" s="61"/>
      <c r="D3" s="61"/>
      <c r="E3" s="61"/>
      <c r="F3" s="61"/>
      <c r="G3" s="61"/>
      <c r="H3" s="61"/>
      <c r="I3" s="61"/>
      <c r="J3" s="61"/>
      <c r="K3" s="126"/>
    </row>
    <row r="4" spans="1:11" s="79" customFormat="1" ht="29.5" customHeight="1" thickBot="1" x14ac:dyDescent="0.25">
      <c r="A4" s="74"/>
      <c r="B4" s="32"/>
      <c r="C4" s="75" t="s">
        <v>2</v>
      </c>
      <c r="D4" s="76" t="s">
        <v>3</v>
      </c>
      <c r="E4" s="77" t="s">
        <v>216</v>
      </c>
      <c r="F4" s="61"/>
      <c r="G4" s="61"/>
      <c r="H4" s="61"/>
      <c r="I4" s="61"/>
      <c r="J4" s="61"/>
      <c r="K4" s="78"/>
    </row>
    <row r="5" spans="1:11" s="82" customFormat="1" ht="22.25" customHeight="1" thickBot="1" x14ac:dyDescent="0.25">
      <c r="A5" s="80"/>
      <c r="B5" s="485" t="s">
        <v>215</v>
      </c>
      <c r="C5" s="487" t="str">
        <f>'Front Sheet'!C5:C6</f>
        <v>Philip</v>
      </c>
      <c r="D5" s="489" t="str">
        <f>'Front Sheet'!D5:D6</f>
        <v>McGaw</v>
      </c>
      <c r="E5" s="493" t="str">
        <f>'Front Sheet'!G2</f>
        <v>pmcgaw</v>
      </c>
      <c r="F5" s="61"/>
      <c r="G5" s="61"/>
      <c r="H5" s="224" t="s">
        <v>280</v>
      </c>
      <c r="I5" s="495">
        <f>'Front Sheet'!J5</f>
        <v>83137730</v>
      </c>
      <c r="J5" s="496"/>
      <c r="K5" s="81"/>
    </row>
    <row r="6" spans="1:11" s="82" customFormat="1" ht="22.25" customHeight="1" thickBot="1" x14ac:dyDescent="0.25">
      <c r="A6" s="80"/>
      <c r="B6" s="486"/>
      <c r="C6" s="488"/>
      <c r="D6" s="490"/>
      <c r="E6" s="494"/>
      <c r="F6" s="61"/>
      <c r="G6" s="61"/>
      <c r="H6" s="225" t="s">
        <v>281</v>
      </c>
      <c r="I6" s="495">
        <f>'Front Sheet'!J6</f>
        <v>0</v>
      </c>
      <c r="J6" s="496"/>
      <c r="K6" s="81"/>
    </row>
    <row r="7" spans="1:11" ht="5.5" customHeight="1" thickBot="1" x14ac:dyDescent="0.25">
      <c r="A7" s="63"/>
      <c r="B7" s="62"/>
      <c r="C7" s="62"/>
      <c r="D7" s="62"/>
      <c r="E7" s="65"/>
      <c r="F7" s="66"/>
      <c r="G7" s="62"/>
      <c r="H7" s="62"/>
      <c r="I7" s="66"/>
      <c r="J7" s="62"/>
      <c r="K7" s="67"/>
    </row>
    <row r="8" spans="1:11" ht="17" thickBot="1" x14ac:dyDescent="0.25">
      <c r="A8" s="63"/>
      <c r="B8" s="479" t="s">
        <v>200</v>
      </c>
      <c r="C8" s="480"/>
      <c r="D8" s="481"/>
      <c r="E8" s="479" t="s">
        <v>202</v>
      </c>
      <c r="F8" s="480"/>
      <c r="G8" s="481"/>
      <c r="H8" s="482" t="s">
        <v>198</v>
      </c>
      <c r="I8" s="483"/>
      <c r="J8" s="484"/>
      <c r="K8" s="67"/>
    </row>
    <row r="9" spans="1:11" ht="17" thickBot="1" x14ac:dyDescent="0.25">
      <c r="A9" s="63"/>
      <c r="B9" s="83" t="s">
        <v>199</v>
      </c>
      <c r="C9" s="84" t="s">
        <v>197</v>
      </c>
      <c r="D9" s="85" t="s">
        <v>205</v>
      </c>
      <c r="E9" s="86" t="s">
        <v>201</v>
      </c>
      <c r="F9" s="87" t="s">
        <v>203</v>
      </c>
      <c r="G9" s="88" t="s">
        <v>204</v>
      </c>
      <c r="H9" s="83" t="s">
        <v>201</v>
      </c>
      <c r="I9" s="87" t="s">
        <v>203</v>
      </c>
      <c r="J9" s="88" t="s">
        <v>204</v>
      </c>
      <c r="K9" s="67"/>
    </row>
    <row r="10" spans="1:11" x14ac:dyDescent="0.2">
      <c r="A10" s="63"/>
      <c r="B10" s="344" t="s">
        <v>338</v>
      </c>
      <c r="D10" s="190" t="s">
        <v>337</v>
      </c>
      <c r="E10" s="186">
        <v>38897</v>
      </c>
      <c r="F10" s="187"/>
      <c r="G10" s="185"/>
      <c r="H10" s="185"/>
      <c r="I10" s="187"/>
      <c r="J10" s="188"/>
      <c r="K10" s="67"/>
    </row>
    <row r="11" spans="1:11" x14ac:dyDescent="0.2">
      <c r="A11" s="63"/>
      <c r="B11" s="189" t="s">
        <v>357</v>
      </c>
      <c r="C11" s="190" t="s">
        <v>358</v>
      </c>
      <c r="D11" s="190" t="s">
        <v>359</v>
      </c>
      <c r="E11" s="191"/>
      <c r="F11" s="192">
        <v>0.67</v>
      </c>
      <c r="G11" s="190"/>
      <c r="H11" s="190"/>
      <c r="I11" s="192"/>
      <c r="J11" s="193"/>
      <c r="K11" s="67"/>
    </row>
    <row r="12" spans="1:11" x14ac:dyDescent="0.2">
      <c r="A12" s="63"/>
      <c r="B12" s="189"/>
      <c r="C12" s="190"/>
      <c r="D12" s="190" t="s">
        <v>360</v>
      </c>
      <c r="E12" s="191"/>
      <c r="F12" s="192">
        <v>0.33</v>
      </c>
      <c r="G12" s="190"/>
      <c r="H12" s="190"/>
      <c r="I12" s="192"/>
      <c r="J12" s="193"/>
      <c r="K12" s="67"/>
    </row>
    <row r="13" spans="1:11" x14ac:dyDescent="0.2">
      <c r="A13" s="63"/>
      <c r="B13" s="189" t="s">
        <v>361</v>
      </c>
      <c r="C13" s="190" t="s">
        <v>362</v>
      </c>
      <c r="D13" s="190" t="s">
        <v>359</v>
      </c>
      <c r="E13" s="191"/>
      <c r="F13" s="192">
        <v>0.63</v>
      </c>
      <c r="G13" s="190"/>
      <c r="H13" s="190"/>
      <c r="I13" s="192"/>
      <c r="J13" s="193"/>
      <c r="K13" s="67"/>
    </row>
    <row r="14" spans="1:11" x14ac:dyDescent="0.2">
      <c r="A14" s="63"/>
      <c r="B14" s="189"/>
      <c r="C14" s="190"/>
      <c r="D14" s="190" t="s">
        <v>360</v>
      </c>
      <c r="E14" s="191"/>
      <c r="F14" s="192">
        <v>0.65</v>
      </c>
      <c r="G14" s="190"/>
      <c r="H14" s="190"/>
      <c r="I14" s="192"/>
      <c r="J14" s="193"/>
      <c r="K14" s="67"/>
    </row>
    <row r="15" spans="1:11" x14ac:dyDescent="0.2">
      <c r="A15" s="63"/>
      <c r="B15" s="189" t="s">
        <v>363</v>
      </c>
      <c r="C15" s="190" t="s">
        <v>364</v>
      </c>
      <c r="D15" s="190" t="s">
        <v>359</v>
      </c>
      <c r="E15" s="191"/>
      <c r="F15" s="192">
        <v>0.74</v>
      </c>
      <c r="G15" s="190"/>
      <c r="H15" s="190"/>
      <c r="I15" s="192"/>
      <c r="J15" s="193"/>
      <c r="K15" s="67"/>
    </row>
    <row r="16" spans="1:11" x14ac:dyDescent="0.2">
      <c r="A16" s="63"/>
      <c r="B16" s="189" t="s">
        <v>365</v>
      </c>
      <c r="C16" s="190" t="s">
        <v>366</v>
      </c>
      <c r="D16" s="190" t="s">
        <v>359</v>
      </c>
      <c r="E16" s="191"/>
      <c r="F16" s="192">
        <v>0.73</v>
      </c>
      <c r="G16" s="190"/>
      <c r="H16" s="190"/>
      <c r="I16" s="192"/>
      <c r="J16" s="193"/>
      <c r="K16" s="67"/>
    </row>
    <row r="17" spans="1:11" x14ac:dyDescent="0.2">
      <c r="A17" s="63"/>
      <c r="B17" s="189" t="s">
        <v>367</v>
      </c>
      <c r="C17" s="190" t="s">
        <v>368</v>
      </c>
      <c r="D17" s="190" t="s">
        <v>359</v>
      </c>
      <c r="E17" s="191"/>
      <c r="F17" s="192">
        <v>0.83</v>
      </c>
      <c r="G17" s="190"/>
      <c r="H17" s="190"/>
      <c r="I17" s="192"/>
      <c r="J17" s="193"/>
      <c r="K17" s="67"/>
    </row>
    <row r="18" spans="1:11" x14ac:dyDescent="0.2">
      <c r="A18" s="63"/>
      <c r="B18" s="189" t="s">
        <v>369</v>
      </c>
      <c r="C18" s="190" t="s">
        <v>370</v>
      </c>
      <c r="D18" s="190" t="s">
        <v>359</v>
      </c>
      <c r="E18" s="191"/>
      <c r="F18" s="192">
        <v>0.55000000000000004</v>
      </c>
      <c r="G18" s="190"/>
      <c r="H18" s="190"/>
      <c r="I18" s="192"/>
      <c r="J18" s="193"/>
      <c r="K18" s="67"/>
    </row>
    <row r="19" spans="1:11" x14ac:dyDescent="0.2">
      <c r="A19" s="63"/>
      <c r="B19" s="189" t="s">
        <v>371</v>
      </c>
      <c r="C19" s="190" t="s">
        <v>372</v>
      </c>
      <c r="D19" s="190" t="s">
        <v>359</v>
      </c>
      <c r="E19" s="191"/>
      <c r="F19" s="192">
        <v>0.63</v>
      </c>
      <c r="G19" s="190"/>
      <c r="H19" s="190"/>
      <c r="I19" s="192"/>
      <c r="J19" s="193"/>
      <c r="K19" s="67"/>
    </row>
    <row r="20" spans="1:11" x14ac:dyDescent="0.2">
      <c r="A20" s="63"/>
      <c r="B20" s="189"/>
      <c r="C20" s="190"/>
      <c r="D20" s="190" t="s">
        <v>360</v>
      </c>
      <c r="E20" s="191"/>
      <c r="F20" s="192">
        <v>0.53</v>
      </c>
      <c r="G20" s="190"/>
      <c r="H20" s="190"/>
      <c r="I20" s="192"/>
      <c r="J20" s="193"/>
      <c r="K20" s="67"/>
    </row>
    <row r="21" spans="1:11" x14ac:dyDescent="0.2">
      <c r="A21" s="63"/>
      <c r="B21" s="189" t="s">
        <v>373</v>
      </c>
      <c r="C21" s="190" t="s">
        <v>374</v>
      </c>
      <c r="D21" s="190" t="s">
        <v>359</v>
      </c>
      <c r="E21" s="191"/>
      <c r="F21" s="192">
        <v>0.57999999999999996</v>
      </c>
      <c r="G21" s="190"/>
      <c r="H21" s="190"/>
      <c r="I21" s="192"/>
      <c r="J21" s="193"/>
      <c r="K21" s="67"/>
    </row>
    <row r="22" spans="1:11" x14ac:dyDescent="0.2">
      <c r="A22" s="63"/>
      <c r="B22" s="189" t="s">
        <v>375</v>
      </c>
      <c r="C22" s="190" t="s">
        <v>376</v>
      </c>
      <c r="D22" s="190" t="s">
        <v>359</v>
      </c>
      <c r="E22" s="191"/>
      <c r="F22" s="192">
        <v>0.65</v>
      </c>
      <c r="G22" s="190"/>
      <c r="H22" s="190"/>
      <c r="I22" s="192"/>
      <c r="J22" s="193"/>
      <c r="K22" s="67"/>
    </row>
    <row r="23" spans="1:11" x14ac:dyDescent="0.2">
      <c r="A23" s="63"/>
      <c r="B23" s="189"/>
      <c r="C23" s="190"/>
      <c r="D23" s="190" t="s">
        <v>360</v>
      </c>
      <c r="E23" s="191"/>
      <c r="F23" s="192">
        <v>0.47</v>
      </c>
      <c r="G23" s="190"/>
      <c r="H23" s="190"/>
      <c r="I23" s="192"/>
      <c r="J23" s="193"/>
      <c r="K23" s="67"/>
    </row>
    <row r="24" spans="1:11" x14ac:dyDescent="0.2">
      <c r="A24" s="63"/>
      <c r="B24" s="189" t="s">
        <v>377</v>
      </c>
      <c r="C24" s="190" t="s">
        <v>378</v>
      </c>
      <c r="D24" s="190" t="s">
        <v>359</v>
      </c>
      <c r="E24" s="191"/>
      <c r="F24" s="192">
        <v>0.51</v>
      </c>
      <c r="G24" s="190"/>
      <c r="H24" s="190"/>
      <c r="I24" s="192"/>
      <c r="J24" s="193"/>
      <c r="K24" s="67"/>
    </row>
    <row r="25" spans="1:11" x14ac:dyDescent="0.2">
      <c r="A25" s="63"/>
      <c r="B25" s="189"/>
      <c r="C25" s="190"/>
      <c r="D25" s="190"/>
      <c r="E25" s="191"/>
      <c r="F25" s="192"/>
      <c r="G25" s="190"/>
      <c r="H25" s="190"/>
      <c r="I25" s="192"/>
      <c r="J25" s="193"/>
      <c r="K25" s="67"/>
    </row>
    <row r="26" spans="1:11" x14ac:dyDescent="0.2">
      <c r="A26" s="63"/>
      <c r="B26" s="189"/>
      <c r="C26" s="190"/>
      <c r="D26" s="190"/>
      <c r="E26" s="191"/>
      <c r="F26" s="192"/>
      <c r="G26" s="190"/>
      <c r="H26" s="190"/>
      <c r="I26" s="192"/>
      <c r="J26" s="193"/>
      <c r="K26" s="67"/>
    </row>
    <row r="27" spans="1:11" x14ac:dyDescent="0.2">
      <c r="A27" s="63"/>
      <c r="B27" s="343" t="s">
        <v>379</v>
      </c>
      <c r="C27" s="190" t="s">
        <v>380</v>
      </c>
      <c r="D27" s="190"/>
      <c r="E27" s="191"/>
      <c r="F27" s="192"/>
      <c r="G27" s="190"/>
      <c r="H27" s="190"/>
      <c r="I27" s="192"/>
      <c r="J27" s="193"/>
      <c r="K27" s="67"/>
    </row>
    <row r="28" spans="1:11" x14ac:dyDescent="0.2">
      <c r="A28" s="63"/>
      <c r="B28" s="189"/>
      <c r="C28" s="190" t="s">
        <v>381</v>
      </c>
      <c r="D28" s="190"/>
      <c r="E28" s="191"/>
      <c r="F28" s="192"/>
      <c r="G28" s="190"/>
      <c r="H28" s="190"/>
      <c r="I28" s="192"/>
      <c r="J28" s="193"/>
      <c r="K28" s="67"/>
    </row>
    <row r="29" spans="1:11" x14ac:dyDescent="0.2">
      <c r="A29" s="63"/>
      <c r="B29" s="189"/>
      <c r="C29" s="190"/>
      <c r="D29" s="190"/>
      <c r="E29" s="191"/>
      <c r="F29" s="192"/>
      <c r="G29" s="190"/>
      <c r="H29" s="190"/>
      <c r="I29" s="192"/>
      <c r="J29" s="193"/>
      <c r="K29" s="67"/>
    </row>
    <row r="30" spans="1:11" x14ac:dyDescent="0.2">
      <c r="A30" s="63"/>
      <c r="B30" s="189"/>
      <c r="C30" s="190" t="s">
        <v>339</v>
      </c>
      <c r="D30" s="190"/>
      <c r="E30" s="191">
        <v>40179</v>
      </c>
      <c r="F30" s="192"/>
      <c r="G30" s="190"/>
      <c r="H30" s="190"/>
      <c r="I30" s="192"/>
      <c r="J30" s="193"/>
      <c r="K30" s="67"/>
    </row>
    <row r="31" spans="1:11" x14ac:dyDescent="0.2">
      <c r="A31" s="63"/>
      <c r="B31" s="189"/>
      <c r="C31" s="190"/>
      <c r="D31" s="190"/>
      <c r="E31" s="191"/>
      <c r="F31" s="192"/>
      <c r="G31" s="190"/>
      <c r="H31" s="190"/>
      <c r="I31" s="192"/>
      <c r="J31" s="193"/>
      <c r="K31" s="67"/>
    </row>
    <row r="32" spans="1:11" x14ac:dyDescent="0.2">
      <c r="A32" s="63"/>
      <c r="B32" s="343" t="s">
        <v>355</v>
      </c>
      <c r="C32" s="190"/>
      <c r="D32" s="190"/>
      <c r="E32" s="191"/>
      <c r="F32" s="192"/>
      <c r="G32" s="190"/>
      <c r="H32" s="190"/>
      <c r="I32" s="192"/>
      <c r="J32" s="193"/>
      <c r="K32" s="67"/>
    </row>
    <row r="33" spans="1:11" x14ac:dyDescent="0.2">
      <c r="A33" s="63"/>
      <c r="B33" s="189"/>
      <c r="C33" s="190" t="s">
        <v>340</v>
      </c>
      <c r="D33" s="190"/>
      <c r="E33" s="191">
        <v>43348</v>
      </c>
      <c r="F33" s="192"/>
      <c r="G33" s="190"/>
      <c r="H33" s="190"/>
      <c r="I33" s="192"/>
      <c r="J33" s="193"/>
      <c r="K33" s="67"/>
    </row>
    <row r="34" spans="1:11" x14ac:dyDescent="0.2">
      <c r="A34" s="63"/>
      <c r="B34" s="189"/>
      <c r="C34" s="190" t="s">
        <v>382</v>
      </c>
      <c r="D34" s="190"/>
      <c r="E34" s="191">
        <v>43348</v>
      </c>
      <c r="F34" s="192"/>
      <c r="G34" s="190"/>
      <c r="H34" s="190"/>
      <c r="I34" s="192"/>
      <c r="J34" s="193"/>
      <c r="K34" s="67"/>
    </row>
    <row r="35" spans="1:11" x14ac:dyDescent="0.2">
      <c r="A35" s="63"/>
      <c r="B35" s="189"/>
      <c r="C35" s="190" t="s">
        <v>343</v>
      </c>
      <c r="D35" s="190"/>
      <c r="E35" s="191">
        <v>43348</v>
      </c>
      <c r="F35" s="192"/>
      <c r="G35" s="190"/>
      <c r="H35" s="190"/>
      <c r="I35" s="192"/>
      <c r="J35" s="193"/>
      <c r="K35" s="67"/>
    </row>
    <row r="36" spans="1:11" x14ac:dyDescent="0.2">
      <c r="A36" s="63"/>
      <c r="B36" s="189"/>
      <c r="C36" s="190" t="s">
        <v>341</v>
      </c>
      <c r="D36" s="190"/>
      <c r="E36" s="191">
        <v>43354</v>
      </c>
      <c r="F36" s="192"/>
      <c r="G36" s="190"/>
      <c r="H36" s="190"/>
      <c r="I36" s="192"/>
      <c r="J36" s="193"/>
      <c r="K36" s="67"/>
    </row>
    <row r="37" spans="1:11" x14ac:dyDescent="0.2">
      <c r="A37" s="63"/>
      <c r="B37" s="189"/>
      <c r="C37" s="190" t="s">
        <v>342</v>
      </c>
      <c r="D37" s="190"/>
      <c r="E37" s="191">
        <v>43354</v>
      </c>
      <c r="F37" s="192"/>
      <c r="G37" s="190"/>
      <c r="H37" s="190"/>
      <c r="I37" s="192"/>
      <c r="J37" s="193"/>
      <c r="K37" s="67"/>
    </row>
    <row r="38" spans="1:11" x14ac:dyDescent="0.2">
      <c r="A38" s="63"/>
      <c r="B38" s="189"/>
      <c r="C38" s="190" t="s">
        <v>352</v>
      </c>
      <c r="D38" s="190"/>
      <c r="E38" s="191">
        <v>43360</v>
      </c>
      <c r="F38" s="192"/>
      <c r="G38" s="190"/>
      <c r="H38" s="190"/>
      <c r="I38" s="192"/>
      <c r="J38" s="193"/>
      <c r="K38" s="67"/>
    </row>
    <row r="39" spans="1:11" x14ac:dyDescent="0.2">
      <c r="A39" s="63"/>
      <c r="B39" s="189"/>
      <c r="C39" s="190" t="s">
        <v>344</v>
      </c>
      <c r="D39" s="190"/>
      <c r="E39" s="191">
        <v>43360</v>
      </c>
      <c r="F39" s="192"/>
      <c r="G39" s="190"/>
      <c r="H39" s="190"/>
      <c r="I39" s="192"/>
      <c r="J39" s="193"/>
      <c r="K39" s="67"/>
    </row>
    <row r="40" spans="1:11" x14ac:dyDescent="0.2">
      <c r="A40" s="63"/>
      <c r="B40" s="189"/>
      <c r="C40" s="190" t="s">
        <v>349</v>
      </c>
      <c r="D40" s="190"/>
      <c r="E40" s="191">
        <v>43360</v>
      </c>
      <c r="F40" s="192"/>
      <c r="G40" s="190"/>
      <c r="H40" s="190"/>
      <c r="I40" s="192"/>
      <c r="J40" s="193"/>
      <c r="K40" s="67"/>
    </row>
    <row r="41" spans="1:11" x14ac:dyDescent="0.2">
      <c r="A41" s="63"/>
      <c r="B41" s="189"/>
      <c r="C41" s="190" t="s">
        <v>350</v>
      </c>
      <c r="D41" s="190"/>
      <c r="E41" s="191">
        <v>43370</v>
      </c>
      <c r="F41" s="191"/>
      <c r="G41" s="191"/>
      <c r="H41" s="191"/>
      <c r="I41" s="192"/>
      <c r="J41" s="193"/>
      <c r="K41" s="67"/>
    </row>
    <row r="42" spans="1:11" x14ac:dyDescent="0.2">
      <c r="A42" s="63"/>
      <c r="B42" s="189"/>
      <c r="C42" s="190" t="s">
        <v>383</v>
      </c>
      <c r="D42" s="190"/>
      <c r="E42" s="191">
        <v>43376</v>
      </c>
      <c r="F42" s="191"/>
      <c r="G42" s="191"/>
      <c r="H42" s="191"/>
      <c r="I42" s="192"/>
      <c r="J42" s="193"/>
      <c r="K42" s="67"/>
    </row>
    <row r="43" spans="1:11" x14ac:dyDescent="0.2">
      <c r="A43" s="63"/>
      <c r="B43" s="189"/>
      <c r="C43" s="190" t="s">
        <v>384</v>
      </c>
      <c r="D43" s="190"/>
      <c r="E43" s="191">
        <v>43399</v>
      </c>
      <c r="F43" s="191"/>
      <c r="G43" s="191"/>
      <c r="H43" s="191"/>
      <c r="I43" s="192"/>
      <c r="J43" s="193"/>
      <c r="K43" s="67"/>
    </row>
    <row r="44" spans="1:11" x14ac:dyDescent="0.2">
      <c r="A44" s="63"/>
      <c r="B44" s="189"/>
      <c r="C44" s="190" t="s">
        <v>345</v>
      </c>
      <c r="D44" s="190"/>
      <c r="E44" s="191">
        <v>43572</v>
      </c>
      <c r="F44" s="191"/>
      <c r="G44" s="191"/>
      <c r="H44" s="191"/>
      <c r="I44" s="192"/>
      <c r="J44" s="193"/>
      <c r="K44" s="67"/>
    </row>
    <row r="45" spans="1:11" x14ac:dyDescent="0.2">
      <c r="A45" s="63"/>
      <c r="B45" s="189"/>
      <c r="C45" s="190" t="s">
        <v>347</v>
      </c>
      <c r="D45" s="190"/>
      <c r="E45" s="191">
        <v>43608</v>
      </c>
      <c r="F45" s="191" t="s">
        <v>348</v>
      </c>
      <c r="G45" s="191"/>
      <c r="H45" s="191"/>
      <c r="I45" s="192"/>
      <c r="J45" s="193"/>
      <c r="K45" s="67"/>
    </row>
    <row r="46" spans="1:11" x14ac:dyDescent="0.2">
      <c r="A46" s="63"/>
      <c r="B46" s="189"/>
      <c r="C46" s="190" t="s">
        <v>351</v>
      </c>
      <c r="D46" s="190"/>
      <c r="E46" s="191">
        <v>43718</v>
      </c>
      <c r="F46" s="191"/>
      <c r="G46" s="191"/>
      <c r="H46" s="191"/>
      <c r="I46" s="192"/>
      <c r="J46" s="193"/>
      <c r="K46" s="67"/>
    </row>
    <row r="47" spans="1:11" x14ac:dyDescent="0.2">
      <c r="A47" s="63"/>
      <c r="B47" s="189"/>
      <c r="C47" s="190" t="s">
        <v>346</v>
      </c>
      <c r="D47" s="190"/>
      <c r="E47" s="191">
        <v>43726</v>
      </c>
      <c r="F47" s="191"/>
      <c r="G47" s="191"/>
      <c r="H47" s="191"/>
      <c r="I47" s="192"/>
      <c r="J47" s="193"/>
      <c r="K47" s="67"/>
    </row>
    <row r="48" spans="1:11" x14ac:dyDescent="0.2">
      <c r="A48" s="63"/>
      <c r="B48" s="189"/>
      <c r="C48" s="190" t="s">
        <v>353</v>
      </c>
      <c r="D48" s="190"/>
      <c r="E48" s="191">
        <v>43804</v>
      </c>
      <c r="F48" s="191"/>
      <c r="G48" s="191"/>
      <c r="H48" s="191"/>
      <c r="I48" s="192"/>
      <c r="J48" s="193"/>
      <c r="K48" s="67"/>
    </row>
    <row r="49" spans="1:11" x14ac:dyDescent="0.2">
      <c r="A49" s="63"/>
      <c r="B49" s="189"/>
      <c r="C49" s="190"/>
      <c r="D49" s="190"/>
      <c r="E49" s="191"/>
      <c r="F49" s="191"/>
      <c r="G49" s="191"/>
      <c r="H49" s="191"/>
      <c r="I49" s="192"/>
      <c r="J49" s="193"/>
      <c r="K49" s="67"/>
    </row>
    <row r="50" spans="1:11" x14ac:dyDescent="0.2">
      <c r="A50" s="63"/>
      <c r="B50" s="343" t="s">
        <v>387</v>
      </c>
      <c r="C50" s="190"/>
      <c r="D50" s="190"/>
      <c r="E50" s="191"/>
      <c r="F50" s="191"/>
      <c r="G50" s="191"/>
      <c r="H50" s="191"/>
      <c r="I50" s="192"/>
      <c r="J50" s="193"/>
      <c r="K50" s="67"/>
    </row>
    <row r="51" spans="1:11" x14ac:dyDescent="0.2">
      <c r="A51" s="63"/>
      <c r="B51" s="189"/>
      <c r="C51" s="190" t="s">
        <v>388</v>
      </c>
      <c r="D51" s="190"/>
      <c r="E51" s="191" t="s">
        <v>391</v>
      </c>
      <c r="F51" s="191"/>
      <c r="G51" s="191"/>
      <c r="H51" s="191"/>
      <c r="I51" s="192"/>
      <c r="J51" s="193"/>
      <c r="K51" s="67"/>
    </row>
    <row r="52" spans="1:11" x14ac:dyDescent="0.2">
      <c r="A52" s="63"/>
      <c r="B52" s="189"/>
      <c r="C52" s="190" t="s">
        <v>389</v>
      </c>
      <c r="D52" s="190"/>
      <c r="E52" s="191" t="s">
        <v>396</v>
      </c>
      <c r="F52" s="191"/>
      <c r="G52" s="191"/>
      <c r="H52" s="191"/>
      <c r="I52" s="192"/>
      <c r="J52" s="193"/>
      <c r="K52" s="67"/>
    </row>
    <row r="53" spans="1:11" x14ac:dyDescent="0.2">
      <c r="A53" s="63"/>
      <c r="B53" s="189"/>
      <c r="C53" s="190" t="s">
        <v>390</v>
      </c>
      <c r="D53" s="190"/>
      <c r="E53" s="191" t="s">
        <v>392</v>
      </c>
      <c r="F53" s="191"/>
      <c r="G53" s="191"/>
      <c r="H53" s="191"/>
      <c r="I53" s="192"/>
      <c r="J53" s="193"/>
      <c r="K53" s="67"/>
    </row>
    <row r="54" spans="1:11" x14ac:dyDescent="0.2">
      <c r="A54" s="63"/>
      <c r="B54" s="189"/>
      <c r="C54" s="190"/>
      <c r="D54" s="190"/>
      <c r="E54" s="191"/>
      <c r="F54" s="191"/>
      <c r="G54" s="191"/>
      <c r="H54" s="191"/>
      <c r="I54" s="192"/>
      <c r="J54" s="193"/>
      <c r="K54" s="67"/>
    </row>
    <row r="55" spans="1:11" x14ac:dyDescent="0.2">
      <c r="A55" s="63"/>
      <c r="B55" s="189"/>
      <c r="C55" s="190" t="s">
        <v>394</v>
      </c>
      <c r="D55" s="190"/>
      <c r="E55" s="191" t="s">
        <v>395</v>
      </c>
      <c r="F55" s="191"/>
      <c r="G55" s="191"/>
      <c r="H55" s="191"/>
      <c r="I55" s="192"/>
      <c r="J55" s="193"/>
      <c r="K55" s="67"/>
    </row>
    <row r="56" spans="1:11" x14ac:dyDescent="0.2">
      <c r="A56" s="63"/>
      <c r="B56" s="189"/>
      <c r="C56" s="190"/>
      <c r="D56" s="190"/>
      <c r="E56" s="191"/>
      <c r="F56" s="191"/>
      <c r="G56" s="191"/>
      <c r="H56" s="191"/>
      <c r="I56" s="192"/>
      <c r="J56" s="193"/>
      <c r="K56" s="67"/>
    </row>
    <row r="57" spans="1:11" x14ac:dyDescent="0.2">
      <c r="A57" s="63"/>
      <c r="B57" s="189"/>
      <c r="C57" s="190"/>
      <c r="D57" s="190"/>
      <c r="E57" s="191"/>
      <c r="F57" s="191"/>
      <c r="G57" s="191"/>
      <c r="H57" s="191"/>
      <c r="I57" s="192"/>
      <c r="J57" s="193"/>
      <c r="K57" s="67"/>
    </row>
    <row r="58" spans="1:11" x14ac:dyDescent="0.2">
      <c r="A58" s="63"/>
      <c r="B58" s="189"/>
      <c r="C58" s="190"/>
      <c r="D58" s="190"/>
      <c r="E58" s="191"/>
      <c r="F58" s="192"/>
      <c r="G58" s="190"/>
      <c r="H58" s="190"/>
      <c r="I58" s="192"/>
      <c r="J58" s="193"/>
      <c r="K58" s="67"/>
    </row>
    <row r="59" spans="1:11" x14ac:dyDescent="0.2">
      <c r="A59" s="63"/>
      <c r="B59" s="189"/>
      <c r="C59" s="190"/>
      <c r="D59" s="190"/>
      <c r="E59" s="191"/>
      <c r="F59" s="192"/>
      <c r="G59" s="190"/>
      <c r="H59" s="190"/>
      <c r="I59" s="192"/>
      <c r="J59" s="193"/>
      <c r="K59" s="67"/>
    </row>
    <row r="60" spans="1:11" x14ac:dyDescent="0.2">
      <c r="A60" s="63"/>
      <c r="B60" s="189"/>
      <c r="C60" s="190"/>
      <c r="D60" s="190"/>
      <c r="E60" s="191"/>
      <c r="F60" s="192"/>
      <c r="G60" s="190"/>
      <c r="H60" s="190"/>
      <c r="I60" s="192"/>
      <c r="J60" s="193"/>
      <c r="K60" s="67"/>
    </row>
    <row r="61" spans="1:11" x14ac:dyDescent="0.2">
      <c r="A61" s="63"/>
      <c r="B61" s="189"/>
      <c r="C61" s="190"/>
      <c r="D61" s="190"/>
      <c r="E61" s="191"/>
      <c r="F61" s="192"/>
      <c r="G61" s="190"/>
      <c r="H61" s="190"/>
      <c r="I61" s="192"/>
      <c r="J61" s="193"/>
      <c r="K61" s="67"/>
    </row>
    <row r="62" spans="1:11" x14ac:dyDescent="0.2">
      <c r="A62" s="63"/>
      <c r="B62" s="189"/>
      <c r="C62" s="190"/>
      <c r="D62" s="190"/>
      <c r="E62" s="191"/>
      <c r="F62" s="192"/>
      <c r="G62" s="190"/>
      <c r="H62" s="190"/>
      <c r="I62" s="192"/>
      <c r="J62" s="193"/>
      <c r="K62" s="67"/>
    </row>
    <row r="63" spans="1:11" x14ac:dyDescent="0.2">
      <c r="A63" s="63"/>
      <c r="B63" s="189"/>
      <c r="C63" s="190"/>
      <c r="D63" s="190"/>
      <c r="E63" s="191"/>
      <c r="F63" s="192"/>
      <c r="G63" s="190"/>
      <c r="H63" s="190"/>
      <c r="I63" s="192"/>
      <c r="J63" s="193"/>
      <c r="K63" s="67"/>
    </row>
    <row r="64" spans="1:11" x14ac:dyDescent="0.2">
      <c r="A64" s="63"/>
      <c r="B64" s="189"/>
      <c r="C64" s="190"/>
      <c r="D64" s="190"/>
      <c r="E64" s="191"/>
      <c r="F64" s="192"/>
      <c r="G64" s="190"/>
      <c r="H64" s="190"/>
      <c r="I64" s="192"/>
      <c r="J64" s="193"/>
      <c r="K64" s="67"/>
    </row>
    <row r="65" spans="1:11" x14ac:dyDescent="0.2">
      <c r="A65" s="63"/>
      <c r="B65" s="189"/>
      <c r="C65" s="190"/>
      <c r="D65" s="190"/>
      <c r="E65" s="191"/>
      <c r="F65" s="192"/>
      <c r="G65" s="190"/>
      <c r="H65" s="190"/>
      <c r="I65" s="192"/>
      <c r="J65" s="193"/>
      <c r="K65" s="67"/>
    </row>
    <row r="66" spans="1:11" x14ac:dyDescent="0.2">
      <c r="A66" s="63"/>
      <c r="B66" s="189"/>
      <c r="C66" s="190"/>
      <c r="D66" s="190"/>
      <c r="E66" s="191"/>
      <c r="F66" s="192"/>
      <c r="G66" s="190"/>
      <c r="H66" s="190"/>
      <c r="I66" s="192"/>
      <c r="J66" s="193"/>
      <c r="K66" s="67"/>
    </row>
    <row r="67" spans="1:11" x14ac:dyDescent="0.2">
      <c r="A67" s="63"/>
      <c r="B67" s="189"/>
      <c r="C67" s="190"/>
      <c r="D67" s="190"/>
      <c r="E67" s="191"/>
      <c r="F67" s="192"/>
      <c r="G67" s="190"/>
      <c r="H67" s="190"/>
      <c r="I67" s="192"/>
      <c r="J67" s="193"/>
      <c r="K67" s="67"/>
    </row>
    <row r="68" spans="1:11" x14ac:dyDescent="0.2">
      <c r="A68" s="63"/>
      <c r="B68" s="189"/>
      <c r="C68" s="190"/>
      <c r="D68" s="190"/>
      <c r="E68" s="191"/>
      <c r="F68" s="192"/>
      <c r="G68" s="190"/>
      <c r="H68" s="190"/>
      <c r="I68" s="192"/>
      <c r="J68" s="193"/>
      <c r="K68" s="67"/>
    </row>
    <row r="69" spans="1:11" x14ac:dyDescent="0.2">
      <c r="A69" s="63"/>
      <c r="B69" s="189"/>
      <c r="C69" s="190"/>
      <c r="D69" s="190"/>
      <c r="E69" s="191"/>
      <c r="F69" s="192"/>
      <c r="G69" s="190"/>
      <c r="H69" s="190"/>
      <c r="I69" s="192"/>
      <c r="J69" s="193"/>
      <c r="K69" s="67"/>
    </row>
    <row r="70" spans="1:11" x14ac:dyDescent="0.2">
      <c r="A70" s="63"/>
      <c r="B70" s="189"/>
      <c r="C70" s="190"/>
      <c r="D70" s="190"/>
      <c r="E70" s="191"/>
      <c r="F70" s="192"/>
      <c r="G70" s="190"/>
      <c r="H70" s="190"/>
      <c r="I70" s="192"/>
      <c r="J70" s="193"/>
      <c r="K70" s="67"/>
    </row>
    <row r="71" spans="1:11" x14ac:dyDescent="0.2">
      <c r="A71" s="63"/>
      <c r="B71" s="189"/>
      <c r="C71" s="190"/>
      <c r="D71" s="190"/>
      <c r="E71" s="191"/>
      <c r="F71" s="192"/>
      <c r="G71" s="190"/>
      <c r="H71" s="190"/>
      <c r="I71" s="192"/>
      <c r="J71" s="193"/>
      <c r="K71" s="67"/>
    </row>
    <row r="72" spans="1:11" x14ac:dyDescent="0.2">
      <c r="A72" s="63"/>
      <c r="B72" s="189"/>
      <c r="C72" s="190"/>
      <c r="D72" s="190"/>
      <c r="E72" s="191"/>
      <c r="F72" s="192"/>
      <c r="G72" s="190"/>
      <c r="H72" s="190"/>
      <c r="I72" s="192"/>
      <c r="J72" s="193"/>
      <c r="K72" s="67"/>
    </row>
    <row r="73" spans="1:11" x14ac:dyDescent="0.2">
      <c r="A73" s="63"/>
      <c r="B73" s="189"/>
      <c r="C73" s="190"/>
      <c r="D73" s="190"/>
      <c r="E73" s="191"/>
      <c r="F73" s="192"/>
      <c r="G73" s="190"/>
      <c r="H73" s="190"/>
      <c r="I73" s="192"/>
      <c r="J73" s="193"/>
      <c r="K73" s="67"/>
    </row>
    <row r="74" spans="1:11" x14ac:dyDescent="0.2">
      <c r="A74" s="63"/>
      <c r="B74" s="189"/>
      <c r="C74" s="190"/>
      <c r="D74" s="190"/>
      <c r="E74" s="191"/>
      <c r="F74" s="192"/>
      <c r="G74" s="190"/>
      <c r="H74" s="190"/>
      <c r="I74" s="192"/>
      <c r="J74" s="193"/>
      <c r="K74" s="67"/>
    </row>
    <row r="75" spans="1:11" x14ac:dyDescent="0.2">
      <c r="A75" s="63"/>
      <c r="B75" s="189"/>
      <c r="C75" s="190"/>
      <c r="D75" s="190"/>
      <c r="E75" s="191"/>
      <c r="F75" s="192"/>
      <c r="G75" s="190"/>
      <c r="H75" s="190"/>
      <c r="I75" s="192"/>
      <c r="J75" s="193"/>
      <c r="K75" s="67"/>
    </row>
    <row r="76" spans="1:11" x14ac:dyDescent="0.2">
      <c r="A76" s="63"/>
      <c r="B76" s="189"/>
      <c r="C76" s="190"/>
      <c r="D76" s="190"/>
      <c r="E76" s="191"/>
      <c r="F76" s="192"/>
      <c r="G76" s="190"/>
      <c r="H76" s="190"/>
      <c r="I76" s="192"/>
      <c r="J76" s="193"/>
      <c r="K76" s="67"/>
    </row>
    <row r="77" spans="1:11" x14ac:dyDescent="0.2">
      <c r="A77" s="63"/>
      <c r="B77" s="189"/>
      <c r="C77" s="190"/>
      <c r="D77" s="190"/>
      <c r="E77" s="191"/>
      <c r="F77" s="192"/>
      <c r="G77" s="190"/>
      <c r="H77" s="190"/>
      <c r="I77" s="192"/>
      <c r="J77" s="193"/>
      <c r="K77" s="67"/>
    </row>
    <row r="78" spans="1:11" x14ac:dyDescent="0.2">
      <c r="A78" s="63"/>
      <c r="B78" s="189"/>
      <c r="C78" s="190"/>
      <c r="D78" s="190"/>
      <c r="E78" s="191"/>
      <c r="F78" s="192"/>
      <c r="G78" s="190"/>
      <c r="H78" s="190"/>
      <c r="I78" s="192"/>
      <c r="J78" s="193"/>
      <c r="K78" s="67"/>
    </row>
    <row r="79" spans="1:11" x14ac:dyDescent="0.2">
      <c r="A79" s="63"/>
      <c r="B79" s="189"/>
      <c r="C79" s="190"/>
      <c r="D79" s="190"/>
      <c r="E79" s="191"/>
      <c r="F79" s="192"/>
      <c r="G79" s="190"/>
      <c r="H79" s="190"/>
      <c r="I79" s="192"/>
      <c r="J79" s="193"/>
      <c r="K79" s="67"/>
    </row>
    <row r="80" spans="1:11" x14ac:dyDescent="0.2">
      <c r="A80" s="63"/>
      <c r="B80" s="189"/>
      <c r="C80" s="190"/>
      <c r="D80" s="190"/>
      <c r="E80" s="191"/>
      <c r="F80" s="192"/>
      <c r="G80" s="190"/>
      <c r="H80" s="190"/>
      <c r="I80" s="192"/>
      <c r="J80" s="193"/>
      <c r="K80" s="67"/>
    </row>
    <row r="81" spans="1:11" x14ac:dyDescent="0.2">
      <c r="A81" s="63"/>
      <c r="B81" s="189"/>
      <c r="C81" s="190"/>
      <c r="D81" s="190"/>
      <c r="E81" s="191"/>
      <c r="F81" s="192"/>
      <c r="G81" s="190"/>
      <c r="H81" s="190"/>
      <c r="I81" s="192"/>
      <c r="J81" s="193"/>
      <c r="K81" s="67"/>
    </row>
    <row r="82" spans="1:11" x14ac:dyDescent="0.2">
      <c r="A82" s="63"/>
      <c r="B82" s="189"/>
      <c r="C82" s="190"/>
      <c r="D82" s="190"/>
      <c r="E82" s="191"/>
      <c r="F82" s="192"/>
      <c r="G82" s="190"/>
      <c r="H82" s="190"/>
      <c r="I82" s="192"/>
      <c r="J82" s="193"/>
      <c r="K82" s="67"/>
    </row>
    <row r="83" spans="1:11" x14ac:dyDescent="0.2">
      <c r="A83" s="63"/>
      <c r="B83" s="189"/>
      <c r="C83" s="190"/>
      <c r="D83" s="190"/>
      <c r="E83" s="191"/>
      <c r="F83" s="192"/>
      <c r="G83" s="190"/>
      <c r="H83" s="190"/>
      <c r="I83" s="192"/>
      <c r="J83" s="193"/>
      <c r="K83" s="67"/>
    </row>
    <row r="84" spans="1:11" x14ac:dyDescent="0.2">
      <c r="A84" s="63"/>
      <c r="B84" s="189"/>
      <c r="C84" s="190"/>
      <c r="D84" s="190"/>
      <c r="E84" s="191"/>
      <c r="F84" s="192"/>
      <c r="G84" s="190"/>
      <c r="H84" s="190"/>
      <c r="I84" s="192"/>
      <c r="J84" s="193"/>
      <c r="K84" s="67"/>
    </row>
    <row r="85" spans="1:11" x14ac:dyDescent="0.2">
      <c r="A85" s="63"/>
      <c r="B85" s="189"/>
      <c r="C85" s="190"/>
      <c r="D85" s="190"/>
      <c r="E85" s="191"/>
      <c r="F85" s="192"/>
      <c r="G85" s="190"/>
      <c r="H85" s="190"/>
      <c r="I85" s="192"/>
      <c r="J85" s="193"/>
      <c r="K85" s="67"/>
    </row>
    <row r="86" spans="1:11" x14ac:dyDescent="0.2">
      <c r="A86" s="63"/>
      <c r="B86" s="189"/>
      <c r="C86" s="190"/>
      <c r="D86" s="190"/>
      <c r="E86" s="191"/>
      <c r="F86" s="192"/>
      <c r="G86" s="190"/>
      <c r="H86" s="190"/>
      <c r="I86" s="192"/>
      <c r="J86" s="193"/>
      <c r="K86" s="67"/>
    </row>
    <row r="87" spans="1:11" x14ac:dyDescent="0.2">
      <c r="A87" s="63"/>
      <c r="B87" s="189"/>
      <c r="C87" s="190"/>
      <c r="D87" s="190"/>
      <c r="E87" s="191"/>
      <c r="F87" s="192"/>
      <c r="G87" s="190"/>
      <c r="H87" s="190"/>
      <c r="I87" s="192"/>
      <c r="J87" s="193"/>
      <c r="K87" s="67"/>
    </row>
    <row r="88" spans="1:11" x14ac:dyDescent="0.2">
      <c r="A88" s="63"/>
      <c r="B88" s="189"/>
      <c r="C88" s="190"/>
      <c r="D88" s="190"/>
      <c r="E88" s="191"/>
      <c r="F88" s="192"/>
      <c r="G88" s="190"/>
      <c r="H88" s="190"/>
      <c r="I88" s="192"/>
      <c r="J88" s="193"/>
      <c r="K88" s="67"/>
    </row>
    <row r="89" spans="1:11" x14ac:dyDescent="0.2">
      <c r="A89" s="63"/>
      <c r="B89" s="189"/>
      <c r="C89" s="190"/>
      <c r="D89" s="190"/>
      <c r="E89" s="191"/>
      <c r="F89" s="192"/>
      <c r="G89" s="190"/>
      <c r="H89" s="190"/>
      <c r="I89" s="192"/>
      <c r="J89" s="193"/>
      <c r="K89" s="67"/>
    </row>
    <row r="90" spans="1:11" x14ac:dyDescent="0.2">
      <c r="A90" s="63"/>
      <c r="B90" s="189"/>
      <c r="C90" s="190"/>
      <c r="D90" s="190"/>
      <c r="E90" s="191"/>
      <c r="F90" s="192"/>
      <c r="G90" s="190"/>
      <c r="H90" s="190"/>
      <c r="I90" s="192"/>
      <c r="J90" s="193"/>
      <c r="K90" s="67"/>
    </row>
    <row r="91" spans="1:11" x14ac:dyDescent="0.2">
      <c r="A91" s="63"/>
      <c r="B91" s="189"/>
      <c r="C91" s="190"/>
      <c r="D91" s="190"/>
      <c r="E91" s="191"/>
      <c r="F91" s="192"/>
      <c r="G91" s="190"/>
      <c r="H91" s="190"/>
      <c r="I91" s="192"/>
      <c r="J91" s="193"/>
      <c r="K91" s="67"/>
    </row>
    <row r="92" spans="1:11" x14ac:dyDescent="0.2">
      <c r="A92" s="63"/>
      <c r="B92" s="189"/>
      <c r="C92" s="190"/>
      <c r="D92" s="190"/>
      <c r="E92" s="191"/>
      <c r="F92" s="192"/>
      <c r="G92" s="190"/>
      <c r="H92" s="190"/>
      <c r="I92" s="192"/>
      <c r="J92" s="193"/>
      <c r="K92" s="67"/>
    </row>
    <row r="93" spans="1:11" x14ac:dyDescent="0.2">
      <c r="A93" s="63"/>
      <c r="B93" s="189"/>
      <c r="C93" s="190"/>
      <c r="D93" s="190"/>
      <c r="E93" s="191"/>
      <c r="F93" s="192"/>
      <c r="G93" s="190"/>
      <c r="H93" s="190"/>
      <c r="I93" s="192"/>
      <c r="J93" s="193"/>
      <c r="K93" s="67"/>
    </row>
    <row r="94" spans="1:11" x14ac:dyDescent="0.2">
      <c r="A94" s="63"/>
      <c r="B94" s="189"/>
      <c r="C94" s="190"/>
      <c r="D94" s="190"/>
      <c r="E94" s="191"/>
      <c r="F94" s="192"/>
      <c r="G94" s="190"/>
      <c r="H94" s="190"/>
      <c r="I94" s="192"/>
      <c r="J94" s="193"/>
      <c r="K94" s="67"/>
    </row>
    <row r="95" spans="1:11" x14ac:dyDescent="0.2">
      <c r="A95" s="63"/>
      <c r="B95" s="189"/>
      <c r="C95" s="190"/>
      <c r="D95" s="190"/>
      <c r="E95" s="191"/>
      <c r="F95" s="192"/>
      <c r="G95" s="190"/>
      <c r="H95" s="190"/>
      <c r="I95" s="192"/>
      <c r="J95" s="193"/>
      <c r="K95" s="67"/>
    </row>
    <row r="96" spans="1:11" x14ac:dyDescent="0.2">
      <c r="A96" s="63"/>
      <c r="B96" s="189"/>
      <c r="C96" s="190"/>
      <c r="D96" s="190"/>
      <c r="E96" s="191"/>
      <c r="F96" s="192"/>
      <c r="G96" s="190"/>
      <c r="H96" s="190"/>
      <c r="I96" s="192"/>
      <c r="J96" s="193"/>
      <c r="K96" s="67"/>
    </row>
    <row r="97" spans="1:11" x14ac:dyDescent="0.2">
      <c r="A97" s="63"/>
      <c r="B97" s="189"/>
      <c r="C97" s="190"/>
      <c r="D97" s="190"/>
      <c r="E97" s="191"/>
      <c r="F97" s="192"/>
      <c r="G97" s="190"/>
      <c r="H97" s="190"/>
      <c r="I97" s="192"/>
      <c r="J97" s="193"/>
      <c r="K97" s="67"/>
    </row>
    <row r="98" spans="1:11" x14ac:dyDescent="0.2">
      <c r="A98" s="63"/>
      <c r="B98" s="189"/>
      <c r="C98" s="190"/>
      <c r="D98" s="190"/>
      <c r="E98" s="191"/>
      <c r="F98" s="192"/>
      <c r="G98" s="190"/>
      <c r="H98" s="190"/>
      <c r="I98" s="192"/>
      <c r="J98" s="193"/>
      <c r="K98" s="67"/>
    </row>
    <row r="99" spans="1:11" x14ac:dyDescent="0.2">
      <c r="A99" s="63"/>
      <c r="B99" s="189"/>
      <c r="C99" s="190"/>
      <c r="D99" s="190"/>
      <c r="E99" s="191"/>
      <c r="F99" s="192"/>
      <c r="G99" s="190"/>
      <c r="H99" s="190"/>
      <c r="I99" s="192"/>
      <c r="J99" s="193"/>
      <c r="K99" s="67"/>
    </row>
    <row r="100" spans="1:11" x14ac:dyDescent="0.2">
      <c r="A100" s="63"/>
      <c r="B100" s="189"/>
      <c r="C100" s="190"/>
      <c r="D100" s="190"/>
      <c r="E100" s="191"/>
      <c r="F100" s="192"/>
      <c r="G100" s="190"/>
      <c r="H100" s="190"/>
      <c r="I100" s="192"/>
      <c r="J100" s="193"/>
      <c r="K100" s="67"/>
    </row>
    <row r="101" spans="1:11" x14ac:dyDescent="0.2">
      <c r="A101" s="63"/>
      <c r="B101" s="189"/>
      <c r="C101" s="190"/>
      <c r="D101" s="190"/>
      <c r="E101" s="191"/>
      <c r="F101" s="192"/>
      <c r="G101" s="190"/>
      <c r="H101" s="190"/>
      <c r="I101" s="192"/>
      <c r="J101" s="193"/>
      <c r="K101" s="67"/>
    </row>
    <row r="102" spans="1:11" x14ac:dyDescent="0.2">
      <c r="A102" s="63"/>
      <c r="B102" s="189"/>
      <c r="C102" s="190"/>
      <c r="D102" s="190"/>
      <c r="E102" s="191"/>
      <c r="F102" s="192"/>
      <c r="G102" s="190"/>
      <c r="H102" s="190"/>
      <c r="I102" s="192"/>
      <c r="J102" s="193"/>
      <c r="K102" s="67"/>
    </row>
    <row r="103" spans="1:11" x14ac:dyDescent="0.2">
      <c r="A103" s="63"/>
      <c r="B103" s="189"/>
      <c r="C103" s="190"/>
      <c r="D103" s="190"/>
      <c r="E103" s="191"/>
      <c r="F103" s="192"/>
      <c r="G103" s="190"/>
      <c r="H103" s="190"/>
      <c r="I103" s="192"/>
      <c r="J103" s="193"/>
      <c r="K103" s="67"/>
    </row>
    <row r="104" spans="1:11" x14ac:dyDescent="0.2">
      <c r="A104" s="63"/>
      <c r="B104" s="189"/>
      <c r="C104" s="190"/>
      <c r="D104" s="190"/>
      <c r="E104" s="191"/>
      <c r="F104" s="192"/>
      <c r="G104" s="190"/>
      <c r="H104" s="190"/>
      <c r="I104" s="192"/>
      <c r="J104" s="193"/>
      <c r="K104" s="67"/>
    </row>
    <row r="105" spans="1:11" ht="17" thickBot="1" x14ac:dyDescent="0.25">
      <c r="A105" s="63"/>
      <c r="B105" s="194"/>
      <c r="C105" s="195"/>
      <c r="D105" s="195"/>
      <c r="E105" s="196"/>
      <c r="F105" s="197"/>
      <c r="G105" s="195"/>
      <c r="H105" s="195"/>
      <c r="I105" s="197"/>
      <c r="J105" s="198"/>
      <c r="K105" s="67"/>
    </row>
    <row r="106" spans="1:11" ht="17" thickBot="1" x14ac:dyDescent="0.25">
      <c r="A106" s="64"/>
      <c r="B106" s="69"/>
      <c r="C106" s="69"/>
      <c r="D106" s="69"/>
      <c r="E106" s="70"/>
      <c r="F106" s="71"/>
      <c r="G106" s="69"/>
      <c r="H106" s="69"/>
      <c r="I106" s="71"/>
      <c r="J106" s="69"/>
      <c r="K106" s="68"/>
    </row>
  </sheetData>
  <sortState xmlns:xlrd2="http://schemas.microsoft.com/office/spreadsheetml/2017/richdata2" ref="C33:F51">
    <sortCondition ref="E33:E51"/>
  </sortState>
  <mergeCells count="11">
    <mergeCell ref="B2:J2"/>
    <mergeCell ref="I1:J1"/>
    <mergeCell ref="E5:E6"/>
    <mergeCell ref="I5:J5"/>
    <mergeCell ref="I6:J6"/>
    <mergeCell ref="B8:D8"/>
    <mergeCell ref="E8:G8"/>
    <mergeCell ref="H8:J8"/>
    <mergeCell ref="B5:B6"/>
    <mergeCell ref="C5:C6"/>
    <mergeCell ref="D5:D6"/>
  </mergeCells>
  <dataValidations count="1">
    <dataValidation type="list" allowBlank="1" showInputMessage="1" showErrorMessage="1" promptTitle="Select Grade Achieved for Module" prompt="&gt;70 % = 1st_x000a_60 - 69 % = 2:1_x000a_50 - 59 % = 2:2_x000a_40 - 49 % = 3rd_x000a_&lt;40 % Unclassified" sqref="J10:J105" xr:uid="{00000000-0002-0000-0500-000000000000}">
      <formula1>$A$49:$A$54</formula1>
    </dataValidation>
  </dataValidations>
  <printOptions horizontalCentered="1" verticalCentered="1"/>
  <pageMargins left="0.25" right="0.25" top="0.75" bottom="0.75" header="0.3" footer="0.3"/>
  <pageSetup paperSize="9"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5" r:id="rId4" name="Button 7">
              <controlPr defaultSize="0" print="0" autoFill="0" autoPict="0" macro="[0]!Save_Tab_to_PDF">
                <anchor moveWithCells="1" sizeWithCells="1">
                  <from>
                    <xdr:col>0</xdr:col>
                    <xdr:colOff>0</xdr:colOff>
                    <xdr:row>0</xdr:row>
                    <xdr:rowOff>0</xdr:rowOff>
                  </from>
                  <to>
                    <xdr:col>1</xdr:col>
                    <xdr:colOff>762000</xdr:colOff>
                    <xdr:row>0</xdr:row>
                    <xdr:rowOff>304800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promptTitle="Select Grade Achieved for Module" prompt="&gt;70 % = 1st_x000a_60 - 69 % = 2:1_x000a_50 - 59 % = 2:2_x000a_40 - 49 % = 3rd_x000a_&lt;40 % Unclassified" xr:uid="{00000000-0002-0000-0500-000001000000}">
          <x14:formula1>
            <xm:f>'Drop Down Lists'!$A$50:$A$55</xm:f>
          </x14:formula1>
          <xm:sqref>G10:G105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pageSetUpPr fitToPage="1"/>
  </sheetPr>
  <dimension ref="A1:AP168"/>
  <sheetViews>
    <sheetView tabSelected="1"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Y1 R1</v>
      </c>
      <c r="B1" s="19"/>
      <c r="C1" s="19"/>
      <c r="D1" s="19"/>
      <c r="E1" s="19"/>
      <c r="F1" s="19"/>
      <c r="G1" s="19"/>
      <c r="H1" s="19"/>
      <c r="I1" s="19"/>
      <c r="J1" s="19"/>
      <c r="K1" s="223"/>
      <c r="L1" s="529" t="s">
        <v>256</v>
      </c>
      <c r="M1" s="529"/>
      <c r="N1" s="317">
        <f ca="1">TODAY()</f>
        <v>43969</v>
      </c>
      <c r="O1" s="20"/>
    </row>
    <row r="2" spans="1:42" ht="35" x14ac:dyDescent="0.35">
      <c r="A2" s="14"/>
      <c r="B2" s="465" t="s">
        <v>310</v>
      </c>
      <c r="C2" s="465"/>
      <c r="D2" s="465"/>
      <c r="E2" s="465"/>
      <c r="F2" s="465"/>
      <c r="G2" s="465"/>
      <c r="H2" s="465"/>
      <c r="I2" s="465"/>
      <c r="J2" s="465"/>
      <c r="K2" s="465"/>
      <c r="L2" s="465"/>
      <c r="M2" s="465"/>
      <c r="N2" s="465"/>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36" t="s">
        <v>254</v>
      </c>
      <c r="L4" s="537"/>
      <c r="M4" s="537"/>
      <c r="N4" s="53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19" t="s">
        <v>211</v>
      </c>
      <c r="C5" s="421"/>
      <c r="D5" s="530" t="str">
        <f>'Front Sheet'!C5:C6</f>
        <v>Philip</v>
      </c>
      <c r="E5" s="532" t="str">
        <f>'Front Sheet'!D5:D6</f>
        <v>McGaw</v>
      </c>
      <c r="F5" s="534" t="str">
        <f>'Front Sheet'!G2</f>
        <v>pmcgaw</v>
      </c>
      <c r="G5" s="119">
        <f>'Front Sheet'!J5</f>
        <v>83137730</v>
      </c>
      <c r="H5" s="15"/>
      <c r="I5" s="25"/>
      <c r="J5" s="15"/>
      <c r="K5" s="539" t="s">
        <v>237</v>
      </c>
      <c r="L5" s="540"/>
      <c r="M5" s="540"/>
      <c r="N5" s="541"/>
      <c r="O5" s="16"/>
    </row>
    <row r="6" spans="1:42" ht="18" customHeight="1" thickBot="1" x14ac:dyDescent="0.25">
      <c r="A6" s="14"/>
      <c r="B6" s="422"/>
      <c r="C6" s="424"/>
      <c r="D6" s="531"/>
      <c r="E6" s="533"/>
      <c r="F6" s="535"/>
      <c r="G6" s="120">
        <f>'Front Sheet'!J6</f>
        <v>0</v>
      </c>
      <c r="H6" s="15"/>
      <c r="I6" s="25"/>
      <c r="J6" s="15"/>
      <c r="K6" s="542" t="s">
        <v>237</v>
      </c>
      <c r="L6" s="543"/>
      <c r="M6" s="543"/>
      <c r="N6" s="544"/>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499" t="s">
        <v>232</v>
      </c>
      <c r="C9" s="527"/>
      <c r="D9" s="527"/>
      <c r="E9" s="527"/>
      <c r="F9" s="527"/>
      <c r="G9" s="527"/>
      <c r="H9" s="527"/>
      <c r="I9" s="528"/>
      <c r="J9" s="15"/>
      <c r="K9" s="26" t="s">
        <v>136</v>
      </c>
      <c r="L9" s="89" t="s">
        <v>126</v>
      </c>
      <c r="M9" s="89" t="s">
        <v>128</v>
      </c>
      <c r="N9" s="96" t="s">
        <v>127</v>
      </c>
      <c r="O9" s="16"/>
      <c r="P9" s="165"/>
      <c r="Q9" s="165"/>
      <c r="R9" s="165"/>
      <c r="S9" s="165"/>
      <c r="T9" s="165"/>
    </row>
    <row r="10" spans="1:42" ht="200" customHeight="1" x14ac:dyDescent="0.2">
      <c r="A10" s="14"/>
      <c r="B10" s="502" t="s">
        <v>393</v>
      </c>
      <c r="C10" s="503"/>
      <c r="D10" s="503"/>
      <c r="E10" s="503"/>
      <c r="F10" s="503"/>
      <c r="G10" s="503"/>
      <c r="H10" s="503"/>
      <c r="I10" s="504"/>
      <c r="J10" s="15"/>
      <c r="K10" s="27" t="s">
        <v>109</v>
      </c>
      <c r="L10" s="341">
        <v>4</v>
      </c>
      <c r="M10" s="171"/>
      <c r="N10" s="172"/>
      <c r="O10" s="16"/>
    </row>
    <row r="11" spans="1:42" ht="200" customHeight="1" x14ac:dyDescent="0.2">
      <c r="A11" s="14"/>
      <c r="B11" s="505"/>
      <c r="C11" s="506"/>
      <c r="D11" s="506"/>
      <c r="E11" s="506"/>
      <c r="F11" s="506"/>
      <c r="G11" s="506"/>
      <c r="H11" s="506"/>
      <c r="I11" s="507"/>
      <c r="J11" s="15"/>
      <c r="K11" s="28" t="s">
        <v>110</v>
      </c>
      <c r="L11" s="342">
        <v>4</v>
      </c>
      <c r="M11" s="173"/>
      <c r="N11" s="174"/>
      <c r="O11" s="16"/>
    </row>
    <row r="12" spans="1:42" ht="200" customHeight="1" x14ac:dyDescent="0.2">
      <c r="A12" s="14"/>
      <c r="B12" s="505"/>
      <c r="C12" s="506"/>
      <c r="D12" s="506"/>
      <c r="E12" s="506"/>
      <c r="F12" s="506"/>
      <c r="G12" s="506"/>
      <c r="H12" s="506"/>
      <c r="I12" s="507"/>
      <c r="J12" s="15"/>
      <c r="K12" s="28" t="s">
        <v>111</v>
      </c>
      <c r="L12" s="342">
        <v>4</v>
      </c>
      <c r="M12" s="173"/>
      <c r="N12" s="174"/>
      <c r="O12" s="16"/>
    </row>
    <row r="13" spans="1:42" ht="200" customHeight="1" x14ac:dyDescent="0.2">
      <c r="A13" s="14"/>
      <c r="B13" s="505"/>
      <c r="C13" s="506"/>
      <c r="D13" s="506"/>
      <c r="E13" s="506"/>
      <c r="F13" s="506"/>
      <c r="G13" s="506"/>
      <c r="H13" s="506"/>
      <c r="I13" s="507"/>
      <c r="J13" s="15"/>
      <c r="K13" s="28" t="s">
        <v>112</v>
      </c>
      <c r="L13" s="342">
        <v>3</v>
      </c>
      <c r="M13" s="173"/>
      <c r="N13" s="174"/>
      <c r="O13" s="16"/>
    </row>
    <row r="14" spans="1:42" ht="200" customHeight="1" x14ac:dyDescent="0.2">
      <c r="A14" s="14"/>
      <c r="B14" s="505"/>
      <c r="C14" s="506"/>
      <c r="D14" s="506"/>
      <c r="E14" s="506"/>
      <c r="F14" s="506"/>
      <c r="G14" s="506"/>
      <c r="H14" s="506"/>
      <c r="I14" s="507"/>
      <c r="J14" s="15"/>
      <c r="K14" s="28" t="s">
        <v>113</v>
      </c>
      <c r="L14" s="342">
        <v>2</v>
      </c>
      <c r="M14" s="173"/>
      <c r="N14" s="174"/>
      <c r="O14" s="16"/>
    </row>
    <row r="15" spans="1:42" ht="200" customHeight="1" x14ac:dyDescent="0.2">
      <c r="A15" s="14"/>
      <c r="B15" s="505"/>
      <c r="C15" s="506"/>
      <c r="D15" s="506"/>
      <c r="E15" s="506"/>
      <c r="F15" s="506"/>
      <c r="G15" s="506"/>
      <c r="H15" s="506"/>
      <c r="I15" s="507"/>
      <c r="J15" s="15"/>
      <c r="K15" s="28" t="s">
        <v>114</v>
      </c>
      <c r="L15" s="342">
        <v>3</v>
      </c>
      <c r="M15" s="173"/>
      <c r="N15" s="174"/>
      <c r="O15" s="16"/>
    </row>
    <row r="16" spans="1:42" ht="200" customHeight="1" x14ac:dyDescent="0.2">
      <c r="A16" s="14"/>
      <c r="B16" s="505"/>
      <c r="C16" s="506"/>
      <c r="D16" s="506"/>
      <c r="E16" s="506"/>
      <c r="F16" s="506"/>
      <c r="G16" s="506"/>
      <c r="H16" s="506"/>
      <c r="I16" s="507"/>
      <c r="J16" s="15"/>
      <c r="K16" s="28" t="s">
        <v>115</v>
      </c>
      <c r="L16" s="342">
        <v>2</v>
      </c>
      <c r="M16" s="173"/>
      <c r="N16" s="174"/>
      <c r="O16" s="16"/>
    </row>
    <row r="17" spans="1:42" ht="200" customHeight="1" x14ac:dyDescent="0.2">
      <c r="A17" s="14"/>
      <c r="B17" s="505"/>
      <c r="C17" s="506"/>
      <c r="D17" s="506"/>
      <c r="E17" s="506"/>
      <c r="F17" s="506"/>
      <c r="G17" s="506"/>
      <c r="H17" s="506"/>
      <c r="I17" s="507"/>
      <c r="J17" s="15"/>
      <c r="K17" s="28" t="s">
        <v>116</v>
      </c>
      <c r="L17" s="342">
        <v>2</v>
      </c>
      <c r="M17" s="173"/>
      <c r="N17" s="174"/>
      <c r="O17" s="16"/>
    </row>
    <row r="18" spans="1:42" ht="200" customHeight="1" x14ac:dyDescent="0.2">
      <c r="A18" s="14"/>
      <c r="B18" s="505"/>
      <c r="C18" s="506"/>
      <c r="D18" s="506"/>
      <c r="E18" s="506"/>
      <c r="F18" s="506"/>
      <c r="G18" s="506"/>
      <c r="H18" s="506"/>
      <c r="I18" s="507"/>
      <c r="J18" s="15"/>
      <c r="K18" s="28" t="s">
        <v>117</v>
      </c>
      <c r="L18" s="342">
        <v>2</v>
      </c>
      <c r="M18" s="173"/>
      <c r="N18" s="174"/>
      <c r="O18" s="16"/>
    </row>
    <row r="19" spans="1:42" ht="200" customHeight="1" x14ac:dyDescent="0.2">
      <c r="A19" s="14"/>
      <c r="B19" s="505"/>
      <c r="C19" s="506"/>
      <c r="D19" s="506"/>
      <c r="E19" s="506"/>
      <c r="F19" s="506"/>
      <c r="G19" s="506"/>
      <c r="H19" s="506"/>
      <c r="I19" s="507"/>
      <c r="J19" s="15"/>
      <c r="K19" s="28" t="s">
        <v>118</v>
      </c>
      <c r="L19" s="342">
        <v>3</v>
      </c>
      <c r="M19" s="173"/>
      <c r="N19" s="174"/>
      <c r="O19" s="16"/>
    </row>
    <row r="20" spans="1:42" ht="200" customHeight="1" x14ac:dyDescent="0.2">
      <c r="A20" s="14"/>
      <c r="B20" s="505"/>
      <c r="C20" s="506"/>
      <c r="D20" s="506"/>
      <c r="E20" s="506"/>
      <c r="F20" s="506"/>
      <c r="G20" s="506"/>
      <c r="H20" s="506"/>
      <c r="I20" s="507"/>
      <c r="J20" s="15"/>
      <c r="K20" s="28" t="s">
        <v>119</v>
      </c>
      <c r="L20" s="342">
        <v>3</v>
      </c>
      <c r="M20" s="173"/>
      <c r="N20" s="174"/>
      <c r="O20" s="16"/>
    </row>
    <row r="21" spans="1:42" ht="200" customHeight="1" x14ac:dyDescent="0.2">
      <c r="A21" s="14"/>
      <c r="B21" s="505"/>
      <c r="C21" s="506"/>
      <c r="D21" s="506"/>
      <c r="E21" s="506"/>
      <c r="F21" s="506"/>
      <c r="G21" s="506"/>
      <c r="H21" s="506"/>
      <c r="I21" s="507"/>
      <c r="J21" s="15"/>
      <c r="K21" s="28" t="s">
        <v>120</v>
      </c>
      <c r="L21" s="342">
        <v>2</v>
      </c>
      <c r="M21" s="173"/>
      <c r="N21" s="174"/>
      <c r="O21" s="16"/>
    </row>
    <row r="22" spans="1:42" ht="200" customHeight="1" x14ac:dyDescent="0.2">
      <c r="A22" s="14"/>
      <c r="B22" s="505"/>
      <c r="C22" s="506"/>
      <c r="D22" s="506"/>
      <c r="E22" s="506"/>
      <c r="F22" s="506"/>
      <c r="G22" s="506"/>
      <c r="H22" s="506"/>
      <c r="I22" s="507"/>
      <c r="J22" s="15"/>
      <c r="K22" s="28" t="s">
        <v>121</v>
      </c>
      <c r="L22" s="342">
        <v>3</v>
      </c>
      <c r="M22" s="173"/>
      <c r="N22" s="174"/>
      <c r="O22" s="16"/>
    </row>
    <row r="23" spans="1:42" ht="200" customHeight="1" x14ac:dyDescent="0.2">
      <c r="A23" s="14"/>
      <c r="B23" s="505"/>
      <c r="C23" s="506"/>
      <c r="D23" s="506"/>
      <c r="E23" s="506"/>
      <c r="F23" s="506"/>
      <c r="G23" s="506"/>
      <c r="H23" s="506"/>
      <c r="I23" s="507"/>
      <c r="J23" s="15"/>
      <c r="K23" s="28" t="s">
        <v>122</v>
      </c>
      <c r="L23" s="342">
        <v>2</v>
      </c>
      <c r="M23" s="173"/>
      <c r="N23" s="174"/>
      <c r="O23" s="16"/>
    </row>
    <row r="24" spans="1:42" ht="200" customHeight="1" x14ac:dyDescent="0.2">
      <c r="A24" s="14"/>
      <c r="B24" s="505"/>
      <c r="C24" s="506"/>
      <c r="D24" s="506"/>
      <c r="E24" s="506"/>
      <c r="F24" s="506"/>
      <c r="G24" s="506"/>
      <c r="H24" s="506"/>
      <c r="I24" s="507"/>
      <c r="J24" s="15"/>
      <c r="K24" s="28" t="s">
        <v>123</v>
      </c>
      <c r="L24" s="342">
        <v>3</v>
      </c>
      <c r="M24" s="173"/>
      <c r="N24" s="174"/>
      <c r="O24" s="16"/>
    </row>
    <row r="25" spans="1:42" ht="200" customHeight="1" x14ac:dyDescent="0.2">
      <c r="A25" s="14"/>
      <c r="B25" s="505"/>
      <c r="C25" s="506"/>
      <c r="D25" s="506"/>
      <c r="E25" s="506"/>
      <c r="F25" s="506"/>
      <c r="G25" s="506"/>
      <c r="H25" s="506"/>
      <c r="I25" s="507"/>
      <c r="J25" s="15"/>
      <c r="K25" s="28" t="s">
        <v>124</v>
      </c>
      <c r="L25" s="342">
        <v>3</v>
      </c>
      <c r="M25" s="173"/>
      <c r="N25" s="174"/>
      <c r="O25" s="16"/>
    </row>
    <row r="26" spans="1:42" ht="200" customHeight="1" thickBot="1" x14ac:dyDescent="0.25">
      <c r="A26" s="14"/>
      <c r="B26" s="508"/>
      <c r="C26" s="509"/>
      <c r="D26" s="509"/>
      <c r="E26" s="509"/>
      <c r="F26" s="509"/>
      <c r="G26" s="509"/>
      <c r="H26" s="509"/>
      <c r="I26" s="510"/>
      <c r="J26" s="15"/>
      <c r="K26" s="29" t="s">
        <v>125</v>
      </c>
      <c r="L26" s="342">
        <v>2</v>
      </c>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497" t="s">
        <v>134</v>
      </c>
      <c r="C28" s="498"/>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499" t="s">
        <v>137</v>
      </c>
      <c r="C29" s="500"/>
      <c r="D29" s="500"/>
      <c r="E29" s="500"/>
      <c r="F29" s="500"/>
      <c r="G29" s="500"/>
      <c r="H29" s="500"/>
      <c r="I29" s="501"/>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02"/>
      <c r="C30" s="503"/>
      <c r="D30" s="503"/>
      <c r="E30" s="503"/>
      <c r="F30" s="503"/>
      <c r="G30" s="503"/>
      <c r="H30" s="503"/>
      <c r="I30" s="504"/>
      <c r="J30" s="15"/>
      <c r="K30" s="515" t="s">
        <v>97</v>
      </c>
      <c r="L30" s="516"/>
      <c r="M30" s="519"/>
      <c r="N30" s="520"/>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05"/>
      <c r="C31" s="506"/>
      <c r="D31" s="506"/>
      <c r="E31" s="506"/>
      <c r="F31" s="506"/>
      <c r="G31" s="506"/>
      <c r="H31" s="506"/>
      <c r="I31" s="507"/>
      <c r="J31" s="15"/>
      <c r="K31" s="517"/>
      <c r="L31" s="518"/>
      <c r="M31" s="521"/>
      <c r="N31" s="522"/>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05"/>
      <c r="C32" s="506"/>
      <c r="D32" s="506"/>
      <c r="E32" s="506"/>
      <c r="F32" s="506"/>
      <c r="G32" s="506"/>
      <c r="H32" s="506"/>
      <c r="I32" s="507"/>
      <c r="J32" s="15"/>
      <c r="K32" s="517" t="s">
        <v>98</v>
      </c>
      <c r="L32" s="518"/>
      <c r="M32" s="521"/>
      <c r="N32" s="522"/>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05"/>
      <c r="C33" s="506"/>
      <c r="D33" s="506"/>
      <c r="E33" s="506"/>
      <c r="F33" s="506"/>
      <c r="G33" s="506"/>
      <c r="H33" s="506"/>
      <c r="I33" s="507"/>
      <c r="J33" s="15"/>
      <c r="K33" s="517"/>
      <c r="L33" s="518"/>
      <c r="M33" s="521"/>
      <c r="N33" s="522"/>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08"/>
      <c r="C34" s="509"/>
      <c r="D34" s="509"/>
      <c r="E34" s="509"/>
      <c r="F34" s="509"/>
      <c r="G34" s="509"/>
      <c r="H34" s="509"/>
      <c r="I34" s="510"/>
      <c r="J34" s="15"/>
      <c r="K34" s="511" t="s">
        <v>10</v>
      </c>
      <c r="L34" s="512"/>
      <c r="M34" s="513"/>
      <c r="N34" s="51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497" t="s">
        <v>223</v>
      </c>
      <c r="C36" s="498"/>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499" t="s">
        <v>231</v>
      </c>
      <c r="C37" s="500"/>
      <c r="D37" s="500"/>
      <c r="E37" s="500"/>
      <c r="F37" s="500"/>
      <c r="G37" s="500"/>
      <c r="H37" s="500"/>
      <c r="I37" s="501"/>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02" t="s">
        <v>354</v>
      </c>
      <c r="C38" s="503"/>
      <c r="D38" s="503"/>
      <c r="E38" s="503"/>
      <c r="F38" s="503"/>
      <c r="G38" s="503"/>
      <c r="H38" s="503"/>
      <c r="I38" s="504"/>
      <c r="J38" s="15"/>
      <c r="K38" s="515" t="s">
        <v>97</v>
      </c>
      <c r="L38" s="516"/>
      <c r="M38" s="519"/>
      <c r="N38" s="520"/>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05"/>
      <c r="C39" s="506"/>
      <c r="D39" s="506"/>
      <c r="E39" s="506"/>
      <c r="F39" s="506"/>
      <c r="G39" s="506"/>
      <c r="H39" s="506"/>
      <c r="I39" s="507"/>
      <c r="J39" s="15"/>
      <c r="K39" s="517"/>
      <c r="L39" s="518"/>
      <c r="M39" s="521"/>
      <c r="N39" s="522"/>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05"/>
      <c r="C40" s="506"/>
      <c r="D40" s="506"/>
      <c r="E40" s="506"/>
      <c r="F40" s="506"/>
      <c r="G40" s="506"/>
      <c r="H40" s="506"/>
      <c r="I40" s="507"/>
      <c r="J40" s="15"/>
      <c r="K40" s="517" t="s">
        <v>157</v>
      </c>
      <c r="L40" s="518"/>
      <c r="M40" s="521"/>
      <c r="N40" s="522"/>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05"/>
      <c r="C41" s="506"/>
      <c r="D41" s="506"/>
      <c r="E41" s="506"/>
      <c r="F41" s="506"/>
      <c r="G41" s="506"/>
      <c r="H41" s="506"/>
      <c r="I41" s="507"/>
      <c r="J41" s="15"/>
      <c r="K41" s="517"/>
      <c r="L41" s="518"/>
      <c r="M41" s="521"/>
      <c r="N41" s="522"/>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05"/>
      <c r="C42" s="506"/>
      <c r="D42" s="506"/>
      <c r="E42" s="506"/>
      <c r="F42" s="506"/>
      <c r="G42" s="506"/>
      <c r="H42" s="506"/>
      <c r="I42" s="507"/>
      <c r="J42" s="15"/>
      <c r="K42" s="523" t="s">
        <v>10</v>
      </c>
      <c r="L42" s="524"/>
      <c r="M42" s="525"/>
      <c r="N42" s="526"/>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05"/>
      <c r="C43" s="506"/>
      <c r="D43" s="509"/>
      <c r="E43" s="509"/>
      <c r="F43" s="509"/>
      <c r="G43" s="509"/>
      <c r="H43" s="509"/>
      <c r="I43" s="510"/>
      <c r="J43" s="15"/>
      <c r="K43" s="511" t="s">
        <v>260</v>
      </c>
      <c r="L43" s="512"/>
      <c r="M43" s="513"/>
      <c r="N43" s="51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497" t="s">
        <v>223</v>
      </c>
      <c r="C46" s="498"/>
      <c r="D46" s="24"/>
      <c r="E46" s="24"/>
      <c r="F46" s="24"/>
      <c r="G46" s="24"/>
      <c r="H46" s="24"/>
      <c r="I46" s="15"/>
      <c r="J46" s="15"/>
      <c r="K46" s="15"/>
      <c r="L46" s="24"/>
      <c r="M46" s="24"/>
      <c r="N46" s="24"/>
      <c r="O46" s="16"/>
    </row>
    <row r="47" spans="1:42" ht="51" customHeight="1" thickBot="1" x14ac:dyDescent="0.25">
      <c r="A47" s="14"/>
      <c r="B47" s="499" t="s">
        <v>230</v>
      </c>
      <c r="C47" s="500"/>
      <c r="D47" s="500"/>
      <c r="E47" s="500"/>
      <c r="F47" s="500"/>
      <c r="G47" s="500"/>
      <c r="H47" s="500"/>
      <c r="I47" s="501"/>
      <c r="J47" s="15"/>
      <c r="K47" s="15"/>
      <c r="L47" s="24"/>
      <c r="M47" s="24"/>
      <c r="N47" s="24"/>
      <c r="O47" s="16"/>
    </row>
    <row r="48" spans="1:42" ht="22.25" customHeight="1" x14ac:dyDescent="0.2">
      <c r="A48" s="14"/>
      <c r="B48" s="502" t="s">
        <v>354</v>
      </c>
      <c r="C48" s="503"/>
      <c r="D48" s="503"/>
      <c r="E48" s="503"/>
      <c r="F48" s="503"/>
      <c r="G48" s="503"/>
      <c r="H48" s="503"/>
      <c r="I48" s="504"/>
      <c r="J48" s="15"/>
      <c r="K48" s="515" t="s">
        <v>97</v>
      </c>
      <c r="L48" s="516"/>
      <c r="M48" s="519"/>
      <c r="N48" s="520"/>
      <c r="O48" s="16"/>
    </row>
    <row r="49" spans="1:15" ht="22.25" customHeight="1" x14ac:dyDescent="0.2">
      <c r="A49" s="14"/>
      <c r="B49" s="505"/>
      <c r="C49" s="506"/>
      <c r="D49" s="506"/>
      <c r="E49" s="506"/>
      <c r="F49" s="506"/>
      <c r="G49" s="506"/>
      <c r="H49" s="506"/>
      <c r="I49" s="507"/>
      <c r="J49" s="15"/>
      <c r="K49" s="517"/>
      <c r="L49" s="518"/>
      <c r="M49" s="521"/>
      <c r="N49" s="522"/>
      <c r="O49" s="16"/>
    </row>
    <row r="50" spans="1:15" ht="22.25" customHeight="1" x14ac:dyDescent="0.2">
      <c r="A50" s="14"/>
      <c r="B50" s="505"/>
      <c r="C50" s="506"/>
      <c r="D50" s="506"/>
      <c r="E50" s="506"/>
      <c r="F50" s="506"/>
      <c r="G50" s="506"/>
      <c r="H50" s="506"/>
      <c r="I50" s="507"/>
      <c r="J50" s="15"/>
      <c r="K50" s="517" t="s">
        <v>157</v>
      </c>
      <c r="L50" s="518"/>
      <c r="M50" s="521"/>
      <c r="N50" s="522"/>
      <c r="O50" s="16"/>
    </row>
    <row r="51" spans="1:15" ht="22.25" customHeight="1" x14ac:dyDescent="0.2">
      <c r="A51" s="14"/>
      <c r="B51" s="505"/>
      <c r="C51" s="506"/>
      <c r="D51" s="506"/>
      <c r="E51" s="506"/>
      <c r="F51" s="506"/>
      <c r="G51" s="506"/>
      <c r="H51" s="506"/>
      <c r="I51" s="507"/>
      <c r="J51" s="15"/>
      <c r="K51" s="517"/>
      <c r="L51" s="518"/>
      <c r="M51" s="521"/>
      <c r="N51" s="522"/>
      <c r="O51" s="16"/>
    </row>
    <row r="52" spans="1:15" ht="22.25" customHeight="1" x14ac:dyDescent="0.2">
      <c r="A52" s="14"/>
      <c r="B52" s="505"/>
      <c r="C52" s="506"/>
      <c r="D52" s="506"/>
      <c r="E52" s="506"/>
      <c r="F52" s="506"/>
      <c r="G52" s="506"/>
      <c r="H52" s="506"/>
      <c r="I52" s="507"/>
      <c r="J52" s="15"/>
      <c r="K52" s="523" t="s">
        <v>10</v>
      </c>
      <c r="L52" s="524"/>
      <c r="M52" s="525"/>
      <c r="N52" s="526"/>
      <c r="O52" s="16"/>
    </row>
    <row r="53" spans="1:15" ht="22.25" customHeight="1" thickBot="1" x14ac:dyDescent="0.25">
      <c r="A53" s="14"/>
      <c r="B53" s="508"/>
      <c r="C53" s="509"/>
      <c r="D53" s="509"/>
      <c r="E53" s="509"/>
      <c r="F53" s="509"/>
      <c r="G53" s="509"/>
      <c r="H53" s="509"/>
      <c r="I53" s="510"/>
      <c r="J53" s="15"/>
      <c r="K53" s="511" t="s">
        <v>259</v>
      </c>
      <c r="L53" s="512"/>
      <c r="M53" s="513"/>
      <c r="N53" s="51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497" t="s">
        <v>135</v>
      </c>
      <c r="C56" s="498"/>
      <c r="D56" s="24"/>
      <c r="E56" s="24"/>
      <c r="F56" s="24"/>
      <c r="G56" s="24"/>
      <c r="H56" s="24"/>
      <c r="I56" s="15"/>
      <c r="J56" s="15"/>
      <c r="K56" s="15"/>
      <c r="L56" s="24"/>
      <c r="M56" s="24"/>
      <c r="N56" s="24"/>
      <c r="O56" s="16"/>
    </row>
    <row r="57" spans="1:15" ht="36" customHeight="1" thickBot="1" x14ac:dyDescent="0.25">
      <c r="A57" s="14"/>
      <c r="B57" s="499" t="s">
        <v>156</v>
      </c>
      <c r="C57" s="500"/>
      <c r="D57" s="500"/>
      <c r="E57" s="500"/>
      <c r="F57" s="500"/>
      <c r="G57" s="500"/>
      <c r="H57" s="500"/>
      <c r="I57" s="501"/>
      <c r="J57" s="15"/>
      <c r="K57" s="15"/>
      <c r="L57" s="24"/>
      <c r="M57" s="24"/>
      <c r="N57" s="24"/>
      <c r="O57" s="16"/>
    </row>
    <row r="58" spans="1:15" ht="22.25" customHeight="1" x14ac:dyDescent="0.2">
      <c r="A58" s="14"/>
      <c r="B58" s="502" t="s">
        <v>354</v>
      </c>
      <c r="C58" s="503"/>
      <c r="D58" s="503"/>
      <c r="E58" s="503"/>
      <c r="F58" s="503"/>
      <c r="G58" s="503"/>
      <c r="H58" s="503"/>
      <c r="I58" s="504"/>
      <c r="J58" s="15"/>
      <c r="K58" s="515" t="s">
        <v>97</v>
      </c>
      <c r="L58" s="516"/>
      <c r="M58" s="519"/>
      <c r="N58" s="520"/>
      <c r="O58" s="16"/>
    </row>
    <row r="59" spans="1:15" ht="22.25" customHeight="1" x14ac:dyDescent="0.2">
      <c r="A59" s="14"/>
      <c r="B59" s="505"/>
      <c r="C59" s="506"/>
      <c r="D59" s="506"/>
      <c r="E59" s="506"/>
      <c r="F59" s="506"/>
      <c r="G59" s="506"/>
      <c r="H59" s="506"/>
      <c r="I59" s="507"/>
      <c r="J59" s="15"/>
      <c r="K59" s="517"/>
      <c r="L59" s="518"/>
      <c r="M59" s="521"/>
      <c r="N59" s="522"/>
      <c r="O59" s="16"/>
    </row>
    <row r="60" spans="1:15" ht="22.25" customHeight="1" x14ac:dyDescent="0.2">
      <c r="A60" s="14"/>
      <c r="B60" s="505"/>
      <c r="C60" s="506"/>
      <c r="D60" s="506"/>
      <c r="E60" s="506"/>
      <c r="F60" s="506"/>
      <c r="G60" s="506"/>
      <c r="H60" s="506"/>
      <c r="I60" s="507"/>
      <c r="J60" s="15"/>
      <c r="K60" s="517" t="s">
        <v>158</v>
      </c>
      <c r="L60" s="518"/>
      <c r="M60" s="521"/>
      <c r="N60" s="522"/>
      <c r="O60" s="16"/>
    </row>
    <row r="61" spans="1:15" ht="22.25" customHeight="1" x14ac:dyDescent="0.2">
      <c r="A61" s="14"/>
      <c r="B61" s="505"/>
      <c r="C61" s="506"/>
      <c r="D61" s="506"/>
      <c r="E61" s="506"/>
      <c r="F61" s="506"/>
      <c r="G61" s="506"/>
      <c r="H61" s="506"/>
      <c r="I61" s="507"/>
      <c r="J61" s="15"/>
      <c r="K61" s="517"/>
      <c r="L61" s="518"/>
      <c r="M61" s="521"/>
      <c r="N61" s="522"/>
      <c r="O61" s="16"/>
    </row>
    <row r="62" spans="1:15" ht="22.25" customHeight="1" thickBot="1" x14ac:dyDescent="0.25">
      <c r="A62" s="14"/>
      <c r="B62" s="508"/>
      <c r="C62" s="509"/>
      <c r="D62" s="509"/>
      <c r="E62" s="509"/>
      <c r="F62" s="509"/>
      <c r="G62" s="509"/>
      <c r="H62" s="509"/>
      <c r="I62" s="510"/>
      <c r="J62" s="15"/>
      <c r="K62" s="511" t="s">
        <v>10</v>
      </c>
      <c r="L62" s="512"/>
      <c r="M62" s="513"/>
      <c r="N62" s="51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L1:M1"/>
    <mergeCell ref="K32:L33"/>
    <mergeCell ref="M32:N33"/>
    <mergeCell ref="K30:L31"/>
    <mergeCell ref="M30:N31"/>
    <mergeCell ref="B2:N2"/>
    <mergeCell ref="D5:D6"/>
    <mergeCell ref="E5:E6"/>
    <mergeCell ref="F5:F6"/>
    <mergeCell ref="B5:C6"/>
    <mergeCell ref="K4:N4"/>
    <mergeCell ref="K5:N5"/>
    <mergeCell ref="K6:N6"/>
    <mergeCell ref="B37:I37"/>
    <mergeCell ref="B9:I9"/>
    <mergeCell ref="B10:I26"/>
    <mergeCell ref="B29:I29"/>
    <mergeCell ref="B30:I34"/>
    <mergeCell ref="B36:C36"/>
    <mergeCell ref="B28:C28"/>
    <mergeCell ref="B38:I43"/>
    <mergeCell ref="K38:L39"/>
    <mergeCell ref="M38:N39"/>
    <mergeCell ref="K40:L41"/>
    <mergeCell ref="M40:N41"/>
    <mergeCell ref="K42:L42"/>
    <mergeCell ref="M42:N42"/>
    <mergeCell ref="B56:C56"/>
    <mergeCell ref="B57:I57"/>
    <mergeCell ref="B58:I62"/>
    <mergeCell ref="K58:L59"/>
    <mergeCell ref="M58:N59"/>
    <mergeCell ref="K60:L61"/>
    <mergeCell ref="M60:N61"/>
    <mergeCell ref="K34:L34"/>
    <mergeCell ref="M34:N34"/>
    <mergeCell ref="K43:L43"/>
    <mergeCell ref="M43:N43"/>
    <mergeCell ref="K62:L62"/>
    <mergeCell ref="M62:N62"/>
    <mergeCell ref="K48:L49"/>
    <mergeCell ref="M48:N49"/>
    <mergeCell ref="K50:L51"/>
    <mergeCell ref="M50:N51"/>
    <mergeCell ref="K52:L52"/>
    <mergeCell ref="M52:N52"/>
    <mergeCell ref="B46:C46"/>
    <mergeCell ref="B47:I47"/>
    <mergeCell ref="B48:I53"/>
    <mergeCell ref="K53:L53"/>
    <mergeCell ref="M53:N53"/>
  </mergeCells>
  <dataValidations xWindow="551" yWindow="416" count="3">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0600-000000000000}"/>
    <dataValidation type="date" operator="greaterThan" allowBlank="1" showInputMessage="1" showErrorMessage="1" promptTitle="Date" prompt="Please enter the date in the format dd mmm yyy" sqref="M34:N34 M42:N43 M52:N53 M62:N62" xr:uid="{00000000-0002-0000-0600-000001000000}">
      <formula1>43607</formula1>
    </dataValidation>
    <dataValidation allowBlank="1" showInputMessage="1" showErrorMessage="1" promptTitle="Copy &amp; Paste from Word" prompt="To allow some splitting of text copy and paste paragraphs from Word._x000a_Double click to enable pasting." sqref="B58:I62 B48:I53 B38:I43 B30:I34" xr:uid="{00000000-0002-0000-06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oleObjects>
    <mc:AlternateContent xmlns:mc="http://schemas.openxmlformats.org/markup-compatibility/2006">
      <mc:Choice Requires="x14">
        <oleObject progId="Acrobat Document" shapeId="5126" r:id="rId4">
          <objectPr defaultSize="0" autoPict="0" r:id="rId5">
            <anchor moveWithCells="1">
              <from>
                <xdr:col>15</xdr:col>
                <xdr:colOff>38100</xdr:colOff>
                <xdr:row>9</xdr:row>
                <xdr:rowOff>63500</xdr:rowOff>
              </from>
              <to>
                <xdr:col>17</xdr:col>
                <xdr:colOff>457200</xdr:colOff>
                <xdr:row>9</xdr:row>
                <xdr:rowOff>1574800</xdr:rowOff>
              </to>
            </anchor>
          </objectPr>
        </oleObject>
      </mc:Choice>
      <mc:Fallback>
        <oleObject progId="Acrobat Document" shapeId="5126" r:id="rId4"/>
      </mc:Fallback>
    </mc:AlternateContent>
    <mc:AlternateContent xmlns:mc="http://schemas.openxmlformats.org/markup-compatibility/2006">
      <mc:Choice Requires="x14">
        <oleObject progId="Acrobat Document" shapeId="5128" r:id="rId6">
          <objectPr defaultSize="0" autoPict="0" r:id="rId7">
            <anchor moveWithCells="1">
              <from>
                <xdr:col>15</xdr:col>
                <xdr:colOff>50800</xdr:colOff>
                <xdr:row>9</xdr:row>
                <xdr:rowOff>1676400</xdr:rowOff>
              </from>
              <to>
                <xdr:col>17</xdr:col>
                <xdr:colOff>469900</xdr:colOff>
                <xdr:row>10</xdr:row>
                <xdr:rowOff>2120900</xdr:rowOff>
              </to>
            </anchor>
          </objectPr>
        </oleObject>
      </mc:Choice>
      <mc:Fallback>
        <oleObject progId="Acrobat Document" shapeId="5128" r:id="rId6"/>
      </mc:Fallback>
    </mc:AlternateContent>
  </oleObjects>
  <mc:AlternateContent xmlns:mc="http://schemas.openxmlformats.org/markup-compatibility/2006">
    <mc:Choice Requires="x14">
      <controls>
        <mc:AlternateContent xmlns:mc="http://schemas.openxmlformats.org/markup-compatibility/2006">
          <mc:Choice Requires="x14">
            <control shapeId="5125" r:id="rId8" name="Button 5">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7" id="{A80A8C97-5CC7-4107-B838-E8DD4B5A05F0}">
            <xm:f>'Front Sheet'!$J$2="No"</xm:f>
            <x14:dxf>
              <fill>
                <patternFill patternType="lightDown">
                  <bgColor theme="0" tint="-0.24994659260841701"/>
                </patternFill>
              </fill>
            </x14:dxf>
          </x14:cfRule>
          <xm:sqref>B38:I43 B44:F44 K38:N41 K42:L42</xm:sqref>
        </x14:conditionalFormatting>
        <x14:conditionalFormatting xmlns:xm="http://schemas.microsoft.com/office/excel/2006/main">
          <x14:cfRule type="expression" priority="27" id="{138C8B66-7AA0-4252-A0EB-ECFE08608918}">
            <xm:f>'Front Sheet'!$J$2="No"</xm:f>
            <x14:dxf>
              <fill>
                <patternFill patternType="lightDown">
                  <bgColor theme="0" tint="-0.24994659260841701"/>
                </patternFill>
              </fill>
            </x14:dxf>
          </x14:cfRule>
          <xm:sqref>B58:I62 K58:N61 K62:L62</xm:sqref>
        </x14:conditionalFormatting>
        <x14:conditionalFormatting xmlns:xm="http://schemas.microsoft.com/office/excel/2006/main">
          <x14:cfRule type="expression" priority="62" id="{CFA6A7BA-C1F6-407E-9B8D-5ED3FF73F646}">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23" id="{5E842C9A-4B78-4FE2-8856-92906F93BADA}">
            <xm:f>'Front Sheet'!#REF!="Yes"</xm:f>
            <x14:dxf>
              <fill>
                <patternFill patternType="lightDown">
                  <bgColor theme="0" tint="-0.14996795556505021"/>
                </patternFill>
              </fill>
            </x14:dxf>
          </x14:cfRule>
          <xm:sqref>M38:N41</xm:sqref>
        </x14:conditionalFormatting>
        <x14:conditionalFormatting xmlns:xm="http://schemas.microsoft.com/office/excel/2006/main">
          <x14:cfRule type="expression" priority="22" id="{0373E109-7D3C-42A1-9052-7EAFB346B35D}">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20" id="{3C176DAB-5019-49B7-9054-EFA64DB20B95}">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9" id="{B03B4E4C-C411-4B36-8D58-23E59825A6BD}">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6" id="{6BE4561F-AFD1-4584-8355-C9E29532C398}">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5" id="{7A767EC8-8F82-4D51-A694-9601480106D4}">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4" id="{9736B7C2-1F70-42FC-B8D5-5869A0AC6D28}">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11" id="{8084E1F0-3526-4E18-837A-853928F87880}">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9" id="{6C7245FF-698D-4DE5-A1E3-8BC30DAC6FB0}">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10" id="{7DDF2268-CE49-45D1-AABE-220417249162}">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8" id="{8DD20691-C7AF-4763-AE20-8D024ACF86F4}">
            <xm:f>'Front Sheet'!$J$2="No"</xm:f>
            <x14:dxf>
              <fill>
                <patternFill patternType="lightDown">
                  <bgColor theme="0" tint="-0.24994659260841701"/>
                </patternFill>
              </fill>
            </x14:dxf>
          </x14:cfRule>
          <xm:sqref>K48:N51</xm:sqref>
        </x14:conditionalFormatting>
        <x14:conditionalFormatting xmlns:xm="http://schemas.microsoft.com/office/excel/2006/main">
          <x14:cfRule type="expression" priority="7" id="{2AC21227-300E-4D5A-B167-931D9811128E}">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698F71CF-FB7C-463E-BA1F-4F362B13FA09}">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DE20CC32-0556-4F56-B9C4-F4FF0C9263C9}">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052F2462-113A-4625-820F-BD8B66BC9AD5}">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253B1C29-ABB7-4BBF-B39D-74D97ED38E84}">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xWindow="551" yWindow="416" count="8">
        <x14:dataValidation type="list" allowBlank="1" showInputMessage="1" showErrorMessage="1" promptTitle="Attendance" prompt="Attendance &amp; Engagement with the programme:_x000a_Excellent (90-100%)_x000a_Satisfactory (80-90%)_x000a_Concerning (&lt;80%)" xr:uid="{00000000-0002-0000-0600-000003000000}">
          <x14:formula1>
            <xm:f>'Drop Down Lists'!$A$38:$A$40</xm:f>
          </x14:formula1>
          <xm:sqref>G54 G44</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0600-000004000000}">
          <x14:formula1>
            <xm:f>'Drop Down Lists'!$A$22:$A$26</xm:f>
          </x14:formula1>
          <xm:sqref>L10:L26</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0600-000005000000}">
          <x14:formula1>
            <xm:f>'Drop Down Lists'!$A$22:$A$26</xm:f>
          </x14:formula1>
          <xm:sqref>M10:M26</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0600-000006000000}">
          <x14:formula1>
            <xm:f>'Drop Down Lists'!$A$2:$A$3</xm:f>
          </x14:formula1>
          <xm:sqref>C44 C54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0600-000007000000}">
          <x14:formula1>
            <xm:f>'Drop Down Lists'!$A$2:$A$3</xm:f>
          </x14:formula1>
          <xm:sqref>E44 E54</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0600-000008000000}">
          <x14:formula1>
            <xm:f>'Drop Down Lists'!$A$2:$A$3</xm:f>
          </x14:formula1>
          <xm:sqref>I44 I54</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0600-000009000000}">
          <x14:formula1>
            <xm:f>'Drop Down Lists'!$A$22:$A$26</xm:f>
          </x14:formula1>
          <xm:sqref>N10:N26</xm:sqref>
        </x14:dataValidation>
        <x14:dataValidation type="list" allowBlank="1" showInputMessage="1" showErrorMessage="1" promptTitle="Work Location(s)" prompt="Please select the MAIN work location(s) you have been based at during this period._x000a__x000a_N.B. Warwick University is JLR Research at Warwick" xr:uid="{00000000-0002-0000-0600-00000A000000}">
          <x14:formula1>
            <xm:f>'Drop Down Lists'!$G$2:$G$21</xm:f>
          </x14:formula1>
          <xm:sqref>K5:N6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AP168"/>
  <sheetViews>
    <sheetView topLeftCell="A19"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Y1 R2</v>
      </c>
      <c r="B1" s="19"/>
      <c r="C1" s="19"/>
      <c r="D1" s="19"/>
      <c r="E1" s="19"/>
      <c r="F1" s="19"/>
      <c r="G1" s="19"/>
      <c r="H1" s="19"/>
      <c r="I1" s="19"/>
      <c r="J1" s="19"/>
      <c r="K1" s="223"/>
      <c r="L1" s="529" t="s">
        <v>256</v>
      </c>
      <c r="M1" s="529"/>
      <c r="N1" s="318">
        <f ca="1">TODAY()</f>
        <v>43969</v>
      </c>
      <c r="O1" s="20"/>
    </row>
    <row r="2" spans="1:42" ht="35" x14ac:dyDescent="0.35">
      <c r="A2" s="14"/>
      <c r="B2" s="465" t="s">
        <v>311</v>
      </c>
      <c r="C2" s="465"/>
      <c r="D2" s="465"/>
      <c r="E2" s="465"/>
      <c r="F2" s="465"/>
      <c r="G2" s="465"/>
      <c r="H2" s="465"/>
      <c r="I2" s="465"/>
      <c r="J2" s="465"/>
      <c r="K2" s="465"/>
      <c r="L2" s="465"/>
      <c r="M2" s="465"/>
      <c r="N2" s="465"/>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36" t="s">
        <v>254</v>
      </c>
      <c r="L4" s="537"/>
      <c r="M4" s="537"/>
      <c r="N4" s="53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19" t="s">
        <v>211</v>
      </c>
      <c r="C5" s="421"/>
      <c r="D5" s="530" t="str">
        <f>'Front Sheet'!C5:C6</f>
        <v>Philip</v>
      </c>
      <c r="E5" s="532" t="str">
        <f>'Front Sheet'!D5:D6</f>
        <v>McGaw</v>
      </c>
      <c r="F5" s="534" t="str">
        <f>'Front Sheet'!G2</f>
        <v>pmcgaw</v>
      </c>
      <c r="G5" s="119">
        <f>'Front Sheet'!J5</f>
        <v>83137730</v>
      </c>
      <c r="H5" s="15"/>
      <c r="I5" s="25"/>
      <c r="J5" s="15"/>
      <c r="K5" s="539" t="s">
        <v>237</v>
      </c>
      <c r="L5" s="540"/>
      <c r="M5" s="540"/>
      <c r="N5" s="541"/>
      <c r="O5" s="16"/>
    </row>
    <row r="6" spans="1:42" ht="18" customHeight="1" thickBot="1" x14ac:dyDescent="0.25">
      <c r="A6" s="14"/>
      <c r="B6" s="422"/>
      <c r="C6" s="424"/>
      <c r="D6" s="531"/>
      <c r="E6" s="533"/>
      <c r="F6" s="535"/>
      <c r="G6" s="120">
        <f>'Front Sheet'!J6</f>
        <v>0</v>
      </c>
      <c r="H6" s="15"/>
      <c r="I6" s="25"/>
      <c r="J6" s="15"/>
      <c r="K6" s="542" t="s">
        <v>237</v>
      </c>
      <c r="L6" s="543"/>
      <c r="M6" s="543"/>
      <c r="N6" s="544"/>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499" t="s">
        <v>232</v>
      </c>
      <c r="C9" s="527"/>
      <c r="D9" s="527"/>
      <c r="E9" s="527"/>
      <c r="F9" s="527"/>
      <c r="G9" s="527"/>
      <c r="H9" s="527"/>
      <c r="I9" s="528"/>
      <c r="J9" s="15"/>
      <c r="K9" s="26" t="s">
        <v>136</v>
      </c>
      <c r="L9" s="89" t="s">
        <v>126</v>
      </c>
      <c r="M9" s="89" t="s">
        <v>128</v>
      </c>
      <c r="N9" s="96" t="s">
        <v>127</v>
      </c>
      <c r="O9" s="16"/>
      <c r="P9" s="165"/>
      <c r="Q9" s="165"/>
      <c r="R9" s="165"/>
      <c r="S9" s="165"/>
      <c r="T9" s="165"/>
    </row>
    <row r="10" spans="1:42" ht="200" customHeight="1" x14ac:dyDescent="0.2">
      <c r="A10" s="14"/>
      <c r="B10" s="502" t="s">
        <v>385</v>
      </c>
      <c r="C10" s="503"/>
      <c r="D10" s="503"/>
      <c r="E10" s="503"/>
      <c r="F10" s="503"/>
      <c r="G10" s="503"/>
      <c r="H10" s="503"/>
      <c r="I10" s="504"/>
      <c r="J10" s="15"/>
      <c r="K10" s="27" t="s">
        <v>109</v>
      </c>
      <c r="L10" s="170"/>
      <c r="M10" s="171"/>
      <c r="N10" s="172"/>
      <c r="O10" s="16"/>
    </row>
    <row r="11" spans="1:42" ht="200" customHeight="1" x14ac:dyDescent="0.2">
      <c r="A11" s="14"/>
      <c r="B11" s="505"/>
      <c r="C11" s="506"/>
      <c r="D11" s="506"/>
      <c r="E11" s="506"/>
      <c r="F11" s="506"/>
      <c r="G11" s="506"/>
      <c r="H11" s="506"/>
      <c r="I11" s="507"/>
      <c r="J11" s="15"/>
      <c r="K11" s="28" t="s">
        <v>110</v>
      </c>
      <c r="L11" s="173"/>
      <c r="M11" s="173"/>
      <c r="N11" s="174"/>
      <c r="O11" s="16"/>
    </row>
    <row r="12" spans="1:42" ht="200" customHeight="1" x14ac:dyDescent="0.2">
      <c r="A12" s="14"/>
      <c r="B12" s="505"/>
      <c r="C12" s="506"/>
      <c r="D12" s="506"/>
      <c r="E12" s="506"/>
      <c r="F12" s="506"/>
      <c r="G12" s="506"/>
      <c r="H12" s="506"/>
      <c r="I12" s="507"/>
      <c r="J12" s="15"/>
      <c r="K12" s="28" t="s">
        <v>111</v>
      </c>
      <c r="L12" s="173"/>
      <c r="M12" s="173"/>
      <c r="N12" s="174"/>
      <c r="O12" s="16"/>
    </row>
    <row r="13" spans="1:42" ht="200" customHeight="1" x14ac:dyDescent="0.2">
      <c r="A13" s="14"/>
      <c r="B13" s="505"/>
      <c r="C13" s="506"/>
      <c r="D13" s="506"/>
      <c r="E13" s="506"/>
      <c r="F13" s="506"/>
      <c r="G13" s="506"/>
      <c r="H13" s="506"/>
      <c r="I13" s="507"/>
      <c r="J13" s="15"/>
      <c r="K13" s="28" t="s">
        <v>112</v>
      </c>
      <c r="L13" s="173"/>
      <c r="M13" s="173"/>
      <c r="N13" s="174"/>
      <c r="O13" s="16"/>
    </row>
    <row r="14" spans="1:42" ht="200" customHeight="1" x14ac:dyDescent="0.2">
      <c r="A14" s="14"/>
      <c r="B14" s="505"/>
      <c r="C14" s="506"/>
      <c r="D14" s="506"/>
      <c r="E14" s="506"/>
      <c r="F14" s="506"/>
      <c r="G14" s="506"/>
      <c r="H14" s="506"/>
      <c r="I14" s="507"/>
      <c r="J14" s="15"/>
      <c r="K14" s="28" t="s">
        <v>113</v>
      </c>
      <c r="L14" s="173"/>
      <c r="M14" s="173"/>
      <c r="N14" s="174"/>
      <c r="O14" s="16"/>
    </row>
    <row r="15" spans="1:42" ht="200" customHeight="1" x14ac:dyDescent="0.2">
      <c r="A15" s="14"/>
      <c r="B15" s="505"/>
      <c r="C15" s="506"/>
      <c r="D15" s="506"/>
      <c r="E15" s="506"/>
      <c r="F15" s="506"/>
      <c r="G15" s="506"/>
      <c r="H15" s="506"/>
      <c r="I15" s="507"/>
      <c r="J15" s="15"/>
      <c r="K15" s="28" t="s">
        <v>114</v>
      </c>
      <c r="L15" s="173"/>
      <c r="M15" s="173"/>
      <c r="N15" s="174"/>
      <c r="O15" s="16"/>
    </row>
    <row r="16" spans="1:42" ht="200" customHeight="1" x14ac:dyDescent="0.2">
      <c r="A16" s="14"/>
      <c r="B16" s="505"/>
      <c r="C16" s="506"/>
      <c r="D16" s="506"/>
      <c r="E16" s="506"/>
      <c r="F16" s="506"/>
      <c r="G16" s="506"/>
      <c r="H16" s="506"/>
      <c r="I16" s="507"/>
      <c r="J16" s="15"/>
      <c r="K16" s="28" t="s">
        <v>115</v>
      </c>
      <c r="L16" s="173"/>
      <c r="M16" s="173"/>
      <c r="N16" s="174"/>
      <c r="O16" s="16"/>
    </row>
    <row r="17" spans="1:42" ht="200" customHeight="1" x14ac:dyDescent="0.2">
      <c r="A17" s="14"/>
      <c r="B17" s="505"/>
      <c r="C17" s="506"/>
      <c r="D17" s="506"/>
      <c r="E17" s="506"/>
      <c r="F17" s="506"/>
      <c r="G17" s="506"/>
      <c r="H17" s="506"/>
      <c r="I17" s="507"/>
      <c r="J17" s="15"/>
      <c r="K17" s="28" t="s">
        <v>116</v>
      </c>
      <c r="L17" s="173"/>
      <c r="M17" s="173"/>
      <c r="N17" s="174"/>
      <c r="O17" s="16"/>
    </row>
    <row r="18" spans="1:42" ht="200" customHeight="1" x14ac:dyDescent="0.2">
      <c r="A18" s="14"/>
      <c r="B18" s="505"/>
      <c r="C18" s="506"/>
      <c r="D18" s="506"/>
      <c r="E18" s="506"/>
      <c r="F18" s="506"/>
      <c r="G18" s="506"/>
      <c r="H18" s="506"/>
      <c r="I18" s="507"/>
      <c r="J18" s="15"/>
      <c r="K18" s="28" t="s">
        <v>117</v>
      </c>
      <c r="L18" s="173"/>
      <c r="M18" s="173"/>
      <c r="N18" s="174"/>
      <c r="O18" s="16"/>
    </row>
    <row r="19" spans="1:42" ht="200" customHeight="1" x14ac:dyDescent="0.2">
      <c r="A19" s="14"/>
      <c r="B19" s="505"/>
      <c r="C19" s="506"/>
      <c r="D19" s="506"/>
      <c r="E19" s="506"/>
      <c r="F19" s="506"/>
      <c r="G19" s="506"/>
      <c r="H19" s="506"/>
      <c r="I19" s="507"/>
      <c r="J19" s="15"/>
      <c r="K19" s="28" t="s">
        <v>118</v>
      </c>
      <c r="L19" s="173"/>
      <c r="M19" s="173"/>
      <c r="N19" s="174"/>
      <c r="O19" s="16"/>
    </row>
    <row r="20" spans="1:42" ht="200" customHeight="1" x14ac:dyDescent="0.2">
      <c r="A20" s="14"/>
      <c r="B20" s="505"/>
      <c r="C20" s="506"/>
      <c r="D20" s="506"/>
      <c r="E20" s="506"/>
      <c r="F20" s="506"/>
      <c r="G20" s="506"/>
      <c r="H20" s="506"/>
      <c r="I20" s="507"/>
      <c r="J20" s="15"/>
      <c r="K20" s="28" t="s">
        <v>119</v>
      </c>
      <c r="L20" s="173"/>
      <c r="M20" s="173"/>
      <c r="N20" s="174"/>
      <c r="O20" s="16"/>
    </row>
    <row r="21" spans="1:42" ht="200" customHeight="1" x14ac:dyDescent="0.2">
      <c r="A21" s="14"/>
      <c r="B21" s="505"/>
      <c r="C21" s="506"/>
      <c r="D21" s="506"/>
      <c r="E21" s="506"/>
      <c r="F21" s="506"/>
      <c r="G21" s="506"/>
      <c r="H21" s="506"/>
      <c r="I21" s="507"/>
      <c r="J21" s="15"/>
      <c r="K21" s="28" t="s">
        <v>120</v>
      </c>
      <c r="L21" s="173"/>
      <c r="M21" s="173"/>
      <c r="N21" s="174"/>
      <c r="O21" s="16"/>
    </row>
    <row r="22" spans="1:42" ht="200" customHeight="1" x14ac:dyDescent="0.2">
      <c r="A22" s="14"/>
      <c r="B22" s="505"/>
      <c r="C22" s="506"/>
      <c r="D22" s="506"/>
      <c r="E22" s="506"/>
      <c r="F22" s="506"/>
      <c r="G22" s="506"/>
      <c r="H22" s="506"/>
      <c r="I22" s="507"/>
      <c r="J22" s="15"/>
      <c r="K22" s="28" t="s">
        <v>121</v>
      </c>
      <c r="L22" s="173"/>
      <c r="M22" s="173"/>
      <c r="N22" s="174"/>
      <c r="O22" s="16"/>
    </row>
    <row r="23" spans="1:42" ht="200" customHeight="1" x14ac:dyDescent="0.2">
      <c r="A23" s="14"/>
      <c r="B23" s="505"/>
      <c r="C23" s="506"/>
      <c r="D23" s="506"/>
      <c r="E23" s="506"/>
      <c r="F23" s="506"/>
      <c r="G23" s="506"/>
      <c r="H23" s="506"/>
      <c r="I23" s="507"/>
      <c r="J23" s="15"/>
      <c r="K23" s="28" t="s">
        <v>122</v>
      </c>
      <c r="L23" s="173"/>
      <c r="M23" s="173"/>
      <c r="N23" s="174"/>
      <c r="O23" s="16"/>
    </row>
    <row r="24" spans="1:42" ht="200" customHeight="1" x14ac:dyDescent="0.2">
      <c r="A24" s="14"/>
      <c r="B24" s="505"/>
      <c r="C24" s="506"/>
      <c r="D24" s="506"/>
      <c r="E24" s="506"/>
      <c r="F24" s="506"/>
      <c r="G24" s="506"/>
      <c r="H24" s="506"/>
      <c r="I24" s="507"/>
      <c r="J24" s="15"/>
      <c r="K24" s="28" t="s">
        <v>123</v>
      </c>
      <c r="L24" s="173"/>
      <c r="M24" s="173"/>
      <c r="N24" s="174"/>
      <c r="O24" s="16"/>
    </row>
    <row r="25" spans="1:42" ht="200" customHeight="1" x14ac:dyDescent="0.2">
      <c r="A25" s="14"/>
      <c r="B25" s="505"/>
      <c r="C25" s="506"/>
      <c r="D25" s="506"/>
      <c r="E25" s="506"/>
      <c r="F25" s="506"/>
      <c r="G25" s="506"/>
      <c r="H25" s="506"/>
      <c r="I25" s="507"/>
      <c r="J25" s="15"/>
      <c r="K25" s="28" t="s">
        <v>124</v>
      </c>
      <c r="L25" s="173"/>
      <c r="M25" s="173"/>
      <c r="N25" s="174"/>
      <c r="O25" s="16"/>
    </row>
    <row r="26" spans="1:42" ht="200" customHeight="1" thickBot="1" x14ac:dyDescent="0.25">
      <c r="A26" s="14"/>
      <c r="B26" s="508"/>
      <c r="C26" s="509"/>
      <c r="D26" s="509"/>
      <c r="E26" s="509"/>
      <c r="F26" s="509"/>
      <c r="G26" s="509"/>
      <c r="H26" s="509"/>
      <c r="I26" s="510"/>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497" t="s">
        <v>134</v>
      </c>
      <c r="C28" s="498"/>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499" t="s">
        <v>137</v>
      </c>
      <c r="C29" s="500"/>
      <c r="D29" s="500"/>
      <c r="E29" s="500"/>
      <c r="F29" s="500"/>
      <c r="G29" s="500"/>
      <c r="H29" s="500"/>
      <c r="I29" s="501"/>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02"/>
      <c r="C30" s="503"/>
      <c r="D30" s="503"/>
      <c r="E30" s="503"/>
      <c r="F30" s="503"/>
      <c r="G30" s="503"/>
      <c r="H30" s="503"/>
      <c r="I30" s="504"/>
      <c r="J30" s="15"/>
      <c r="K30" s="515" t="s">
        <v>97</v>
      </c>
      <c r="L30" s="516"/>
      <c r="M30" s="519"/>
      <c r="N30" s="520"/>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05"/>
      <c r="C31" s="506"/>
      <c r="D31" s="506"/>
      <c r="E31" s="506"/>
      <c r="F31" s="506"/>
      <c r="G31" s="506"/>
      <c r="H31" s="506"/>
      <c r="I31" s="507"/>
      <c r="J31" s="15"/>
      <c r="K31" s="517"/>
      <c r="L31" s="518"/>
      <c r="M31" s="521"/>
      <c r="N31" s="522"/>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05"/>
      <c r="C32" s="506"/>
      <c r="D32" s="506"/>
      <c r="E32" s="506"/>
      <c r="F32" s="506"/>
      <c r="G32" s="506"/>
      <c r="H32" s="506"/>
      <c r="I32" s="507"/>
      <c r="J32" s="15"/>
      <c r="K32" s="517" t="s">
        <v>98</v>
      </c>
      <c r="L32" s="518"/>
      <c r="M32" s="521"/>
      <c r="N32" s="522"/>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05"/>
      <c r="C33" s="506"/>
      <c r="D33" s="506"/>
      <c r="E33" s="506"/>
      <c r="F33" s="506"/>
      <c r="G33" s="506"/>
      <c r="H33" s="506"/>
      <c r="I33" s="507"/>
      <c r="J33" s="15"/>
      <c r="K33" s="517"/>
      <c r="L33" s="518"/>
      <c r="M33" s="521"/>
      <c r="N33" s="522"/>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08"/>
      <c r="C34" s="509"/>
      <c r="D34" s="509"/>
      <c r="E34" s="509"/>
      <c r="F34" s="509"/>
      <c r="G34" s="509"/>
      <c r="H34" s="509"/>
      <c r="I34" s="510"/>
      <c r="J34" s="15"/>
      <c r="K34" s="511" t="s">
        <v>10</v>
      </c>
      <c r="L34" s="512"/>
      <c r="M34" s="513"/>
      <c r="N34" s="51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497" t="s">
        <v>223</v>
      </c>
      <c r="C36" s="498"/>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499" t="s">
        <v>231</v>
      </c>
      <c r="C37" s="500"/>
      <c r="D37" s="500"/>
      <c r="E37" s="500"/>
      <c r="F37" s="500"/>
      <c r="G37" s="500"/>
      <c r="H37" s="500"/>
      <c r="I37" s="501"/>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02"/>
      <c r="C38" s="503"/>
      <c r="D38" s="503"/>
      <c r="E38" s="503"/>
      <c r="F38" s="503"/>
      <c r="G38" s="503"/>
      <c r="H38" s="503"/>
      <c r="I38" s="504"/>
      <c r="J38" s="15"/>
      <c r="K38" s="515" t="s">
        <v>97</v>
      </c>
      <c r="L38" s="516"/>
      <c r="M38" s="519"/>
      <c r="N38" s="520"/>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05"/>
      <c r="C39" s="506"/>
      <c r="D39" s="506"/>
      <c r="E39" s="506"/>
      <c r="F39" s="506"/>
      <c r="G39" s="506"/>
      <c r="H39" s="506"/>
      <c r="I39" s="507"/>
      <c r="J39" s="15"/>
      <c r="K39" s="517"/>
      <c r="L39" s="518"/>
      <c r="M39" s="521"/>
      <c r="N39" s="522"/>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05"/>
      <c r="C40" s="506"/>
      <c r="D40" s="506"/>
      <c r="E40" s="506"/>
      <c r="F40" s="506"/>
      <c r="G40" s="506"/>
      <c r="H40" s="506"/>
      <c r="I40" s="507"/>
      <c r="J40" s="15"/>
      <c r="K40" s="517" t="s">
        <v>157</v>
      </c>
      <c r="L40" s="518"/>
      <c r="M40" s="521"/>
      <c r="N40" s="522"/>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05"/>
      <c r="C41" s="506"/>
      <c r="D41" s="506"/>
      <c r="E41" s="506"/>
      <c r="F41" s="506"/>
      <c r="G41" s="506"/>
      <c r="H41" s="506"/>
      <c r="I41" s="507"/>
      <c r="J41" s="15"/>
      <c r="K41" s="517"/>
      <c r="L41" s="518"/>
      <c r="M41" s="521"/>
      <c r="N41" s="522"/>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05"/>
      <c r="C42" s="506"/>
      <c r="D42" s="506"/>
      <c r="E42" s="506"/>
      <c r="F42" s="506"/>
      <c r="G42" s="506"/>
      <c r="H42" s="506"/>
      <c r="I42" s="507"/>
      <c r="J42" s="15"/>
      <c r="K42" s="523" t="s">
        <v>10</v>
      </c>
      <c r="L42" s="524"/>
      <c r="M42" s="525"/>
      <c r="N42" s="526"/>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05"/>
      <c r="C43" s="506"/>
      <c r="D43" s="509"/>
      <c r="E43" s="509"/>
      <c r="F43" s="509"/>
      <c r="G43" s="509"/>
      <c r="H43" s="509"/>
      <c r="I43" s="510"/>
      <c r="J43" s="15"/>
      <c r="K43" s="511" t="s">
        <v>260</v>
      </c>
      <c r="L43" s="512"/>
      <c r="M43" s="513"/>
      <c r="N43" s="51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497" t="s">
        <v>223</v>
      </c>
      <c r="C46" s="498"/>
      <c r="D46" s="24"/>
      <c r="E46" s="24"/>
      <c r="F46" s="24"/>
      <c r="G46" s="24"/>
      <c r="H46" s="24"/>
      <c r="I46" s="15"/>
      <c r="J46" s="15"/>
      <c r="K46" s="15"/>
      <c r="L46" s="24"/>
      <c r="M46" s="24"/>
      <c r="N46" s="24"/>
      <c r="O46" s="16"/>
    </row>
    <row r="47" spans="1:42" ht="51" customHeight="1" thickBot="1" x14ac:dyDescent="0.25">
      <c r="A47" s="14"/>
      <c r="B47" s="499" t="s">
        <v>230</v>
      </c>
      <c r="C47" s="500"/>
      <c r="D47" s="500"/>
      <c r="E47" s="500"/>
      <c r="F47" s="500"/>
      <c r="G47" s="500"/>
      <c r="H47" s="500"/>
      <c r="I47" s="501"/>
      <c r="J47" s="15"/>
      <c r="K47" s="15"/>
      <c r="L47" s="24"/>
      <c r="M47" s="24"/>
      <c r="N47" s="24"/>
      <c r="O47" s="16"/>
    </row>
    <row r="48" spans="1:42" ht="22.25" customHeight="1" x14ac:dyDescent="0.2">
      <c r="A48" s="14"/>
      <c r="B48" s="502"/>
      <c r="C48" s="503"/>
      <c r="D48" s="503"/>
      <c r="E48" s="503"/>
      <c r="F48" s="503"/>
      <c r="G48" s="503"/>
      <c r="H48" s="503"/>
      <c r="I48" s="504"/>
      <c r="J48" s="15"/>
      <c r="K48" s="515" t="s">
        <v>97</v>
      </c>
      <c r="L48" s="516"/>
      <c r="M48" s="519"/>
      <c r="N48" s="520"/>
      <c r="O48" s="16"/>
    </row>
    <row r="49" spans="1:15" ht="22.25" customHeight="1" x14ac:dyDescent="0.2">
      <c r="A49" s="14"/>
      <c r="B49" s="505"/>
      <c r="C49" s="506"/>
      <c r="D49" s="506"/>
      <c r="E49" s="506"/>
      <c r="F49" s="506"/>
      <c r="G49" s="506"/>
      <c r="H49" s="506"/>
      <c r="I49" s="507"/>
      <c r="J49" s="15"/>
      <c r="K49" s="517"/>
      <c r="L49" s="518"/>
      <c r="M49" s="521"/>
      <c r="N49" s="522"/>
      <c r="O49" s="16"/>
    </row>
    <row r="50" spans="1:15" ht="22.25" customHeight="1" x14ac:dyDescent="0.2">
      <c r="A50" s="14"/>
      <c r="B50" s="505"/>
      <c r="C50" s="506"/>
      <c r="D50" s="506"/>
      <c r="E50" s="506"/>
      <c r="F50" s="506"/>
      <c r="G50" s="506"/>
      <c r="H50" s="506"/>
      <c r="I50" s="507"/>
      <c r="J50" s="15"/>
      <c r="K50" s="517" t="s">
        <v>157</v>
      </c>
      <c r="L50" s="518"/>
      <c r="M50" s="521"/>
      <c r="N50" s="522"/>
      <c r="O50" s="16"/>
    </row>
    <row r="51" spans="1:15" ht="22.25" customHeight="1" x14ac:dyDescent="0.2">
      <c r="A51" s="14"/>
      <c r="B51" s="505"/>
      <c r="C51" s="506"/>
      <c r="D51" s="506"/>
      <c r="E51" s="506"/>
      <c r="F51" s="506"/>
      <c r="G51" s="506"/>
      <c r="H51" s="506"/>
      <c r="I51" s="507"/>
      <c r="J51" s="15"/>
      <c r="K51" s="517"/>
      <c r="L51" s="518"/>
      <c r="M51" s="521"/>
      <c r="N51" s="522"/>
      <c r="O51" s="16"/>
    </row>
    <row r="52" spans="1:15" ht="22.25" customHeight="1" x14ac:dyDescent="0.2">
      <c r="A52" s="14"/>
      <c r="B52" s="505"/>
      <c r="C52" s="506"/>
      <c r="D52" s="506"/>
      <c r="E52" s="506"/>
      <c r="F52" s="506"/>
      <c r="G52" s="506"/>
      <c r="H52" s="506"/>
      <c r="I52" s="507"/>
      <c r="J52" s="15"/>
      <c r="K52" s="523" t="s">
        <v>10</v>
      </c>
      <c r="L52" s="524"/>
      <c r="M52" s="525"/>
      <c r="N52" s="526"/>
      <c r="O52" s="16"/>
    </row>
    <row r="53" spans="1:15" ht="22.25" customHeight="1" thickBot="1" x14ac:dyDescent="0.25">
      <c r="A53" s="14"/>
      <c r="B53" s="508"/>
      <c r="C53" s="509"/>
      <c r="D53" s="509"/>
      <c r="E53" s="509"/>
      <c r="F53" s="509"/>
      <c r="G53" s="509"/>
      <c r="H53" s="509"/>
      <c r="I53" s="510"/>
      <c r="J53" s="15"/>
      <c r="K53" s="511" t="s">
        <v>259</v>
      </c>
      <c r="L53" s="512"/>
      <c r="M53" s="513"/>
      <c r="N53" s="51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497" t="s">
        <v>135</v>
      </c>
      <c r="C56" s="498"/>
      <c r="D56" s="24"/>
      <c r="E56" s="24"/>
      <c r="F56" s="24"/>
      <c r="G56" s="24"/>
      <c r="H56" s="24"/>
      <c r="I56" s="15"/>
      <c r="J56" s="15"/>
      <c r="K56" s="15"/>
      <c r="L56" s="24"/>
      <c r="M56" s="24"/>
      <c r="N56" s="24"/>
      <c r="O56" s="16"/>
    </row>
    <row r="57" spans="1:15" ht="36" customHeight="1" thickBot="1" x14ac:dyDescent="0.25">
      <c r="A57" s="14"/>
      <c r="B57" s="499" t="s">
        <v>156</v>
      </c>
      <c r="C57" s="500"/>
      <c r="D57" s="500"/>
      <c r="E57" s="500"/>
      <c r="F57" s="500"/>
      <c r="G57" s="500"/>
      <c r="H57" s="500"/>
      <c r="I57" s="501"/>
      <c r="J57" s="15"/>
      <c r="K57" s="15"/>
      <c r="L57" s="24"/>
      <c r="M57" s="24"/>
      <c r="N57" s="24"/>
      <c r="O57" s="16"/>
    </row>
    <row r="58" spans="1:15" ht="22.25" customHeight="1" x14ac:dyDescent="0.2">
      <c r="A58" s="14"/>
      <c r="B58" s="502"/>
      <c r="C58" s="503"/>
      <c r="D58" s="503"/>
      <c r="E58" s="503"/>
      <c r="F58" s="503"/>
      <c r="G58" s="503"/>
      <c r="H58" s="503"/>
      <c r="I58" s="504"/>
      <c r="J58" s="15"/>
      <c r="K58" s="515" t="s">
        <v>97</v>
      </c>
      <c r="L58" s="516"/>
      <c r="M58" s="519"/>
      <c r="N58" s="520"/>
      <c r="O58" s="16"/>
    </row>
    <row r="59" spans="1:15" ht="22.25" customHeight="1" x14ac:dyDescent="0.2">
      <c r="A59" s="14"/>
      <c r="B59" s="505"/>
      <c r="C59" s="506"/>
      <c r="D59" s="506"/>
      <c r="E59" s="506"/>
      <c r="F59" s="506"/>
      <c r="G59" s="506"/>
      <c r="H59" s="506"/>
      <c r="I59" s="507"/>
      <c r="J59" s="15"/>
      <c r="K59" s="517"/>
      <c r="L59" s="518"/>
      <c r="M59" s="521"/>
      <c r="N59" s="522"/>
      <c r="O59" s="16"/>
    </row>
    <row r="60" spans="1:15" ht="22.25" customHeight="1" x14ac:dyDescent="0.2">
      <c r="A60" s="14"/>
      <c r="B60" s="505"/>
      <c r="C60" s="506"/>
      <c r="D60" s="506"/>
      <c r="E60" s="506"/>
      <c r="F60" s="506"/>
      <c r="G60" s="506"/>
      <c r="H60" s="506"/>
      <c r="I60" s="507"/>
      <c r="J60" s="15"/>
      <c r="K60" s="517" t="s">
        <v>158</v>
      </c>
      <c r="L60" s="518"/>
      <c r="M60" s="521"/>
      <c r="N60" s="522"/>
      <c r="O60" s="16"/>
    </row>
    <row r="61" spans="1:15" ht="22.25" customHeight="1" x14ac:dyDescent="0.2">
      <c r="A61" s="14"/>
      <c r="B61" s="505"/>
      <c r="C61" s="506"/>
      <c r="D61" s="506"/>
      <c r="E61" s="506"/>
      <c r="F61" s="506"/>
      <c r="G61" s="506"/>
      <c r="H61" s="506"/>
      <c r="I61" s="507"/>
      <c r="J61" s="15"/>
      <c r="K61" s="517"/>
      <c r="L61" s="518"/>
      <c r="M61" s="521"/>
      <c r="N61" s="522"/>
      <c r="O61" s="16"/>
    </row>
    <row r="62" spans="1:15" ht="22.25" customHeight="1" thickBot="1" x14ac:dyDescent="0.25">
      <c r="A62" s="14"/>
      <c r="B62" s="508"/>
      <c r="C62" s="509"/>
      <c r="D62" s="509"/>
      <c r="E62" s="509"/>
      <c r="F62" s="509"/>
      <c r="G62" s="509"/>
      <c r="H62" s="509"/>
      <c r="I62" s="510"/>
      <c r="J62" s="15"/>
      <c r="K62" s="511" t="s">
        <v>10</v>
      </c>
      <c r="L62" s="512"/>
      <c r="M62" s="513"/>
      <c r="N62" s="51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from Word" prompt="To allow some splitting of text copy and paste paragraphs from Word._x000a_Double click to enable pasting." sqref="B58:I62 B48:I53 B38:I43 B30:I34" xr:uid="{00000000-0002-0000-0700-000000000000}"/>
    <dataValidation type="date" operator="greaterThan" allowBlank="1" showInputMessage="1" showErrorMessage="1" promptTitle="Date" prompt="Please enter the date in the format dd mmm yyy" sqref="M34:N34 M42:N43 M52:N53 M62:N62" xr:uid="{00000000-0002-0000-0700-000001000000}">
      <formula1>43607</formula1>
    </dataValidation>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07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AB991DEC-B1FB-4194-BB7A-B476BC87D5D6}">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708A77B3-58EB-47A3-BE98-7C9BFFA7F688}">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6E6C4E7C-84BD-4A74-AE9F-FA8001842B5F}">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59682B16-5519-479C-8986-3F456BFB5E90}">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63395036-5388-425F-801F-2906179B9F9D}">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F93CCB57-958B-4E3A-B087-B85A24B5B338}">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D078A03F-B56A-4490-8C2C-939E024972BA}">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524C85A9-DE91-4FF9-A4C1-18A20C869C14}">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B0080E55-80B3-4E40-855F-D1BF0519F602}">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898DD533-72B0-4A41-B4CE-CE79B3CDF296}">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F9CC0EE7-2AD4-4DD9-AE7D-18FB6FCFE393}">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B45CFAF1-FBFB-478A-B2BC-AEF68CB178D3}">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34134AF3-91EE-4EE5-9F06-F78577B41F92}">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37D1024F-4DEA-4C67-9E66-A0EF388C2F55}">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C6D5704C-6504-4E51-9B51-5E84B2686250}">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59ED5B4D-86AF-4958-9935-AD05C353239D}">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D878ADD8-1FA1-4723-B5DC-268D0EF0F81C}">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B381A0A9-E5DD-4FC4-858E-8BE1B55A851D}">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CDC96139-09F2-4010-83FD-B0FF3CC278B5}">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40B5D90B-ADB8-4E30-9A75-6D897D4013F2}">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Work Location(s)" prompt="Please select the MAIN work location(s) you have been based at during this period._x000a__x000a_N.B. Warwick University is JLR Research at Warwick" xr:uid="{00000000-0002-0000-0700-000003000000}">
          <x14:formula1>
            <xm:f>'Drop Down Lists'!$G$2:$G$21</xm:f>
          </x14:formula1>
          <xm:sqref>K5:N6</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0700-000004000000}">
          <x14:formula1>
            <xm:f>'Drop Down Lists'!$A$22:$A$26</xm:f>
          </x14:formula1>
          <xm:sqref>N10:N26</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0700-000005000000}">
          <x14:formula1>
            <xm:f>'Drop Down Lists'!$A$2:$A$3</xm:f>
          </x14:formula1>
          <xm:sqref>I44 I54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0700-000006000000}">
          <x14:formula1>
            <xm:f>'Drop Down Lists'!$A$2:$A$3</xm:f>
          </x14:formula1>
          <xm:sqref>E44 E54</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0700-000007000000}">
          <x14:formula1>
            <xm:f>'Drop Down Lists'!$A$2:$A$3</xm:f>
          </x14:formula1>
          <xm:sqref>C44 C54</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0700-000008000000}">
          <x14:formula1>
            <xm:f>'Drop Down Lists'!$A$22:$A$26</xm:f>
          </x14:formula1>
          <xm:sqref>M10:M26</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0700-000009000000}">
          <x14:formula1>
            <xm:f>'Drop Down Lists'!$A$22:$A$26</xm:f>
          </x14:formula1>
          <xm:sqref>L10:L26</xm:sqref>
        </x14:dataValidation>
        <x14:dataValidation type="list" allowBlank="1" showInputMessage="1" showErrorMessage="1" promptTitle="Attendance" prompt="Attendance &amp; Engagement with the programme:_x000a_Excellent (90-100%)_x000a_Satisfactory (80-90%)_x000a_Concerning (&lt;80%)" xr:uid="{00000000-0002-0000-0700-00000A000000}">
          <x14:formula1>
            <xm:f>'Drop Down Lists'!$A$38:$A$40</xm:f>
          </x14:formula1>
          <xm:sqref>G54 G44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pageSetUpPr fitToPage="1"/>
  </sheetPr>
  <dimension ref="A1:AP168"/>
  <sheetViews>
    <sheetView topLeftCell="A15" zoomScale="80" zoomScaleNormal="80" workbookViewId="0">
      <selection activeCell="T16" sqref="T1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Y1 R3</v>
      </c>
      <c r="B1" s="19"/>
      <c r="C1" s="19"/>
      <c r="D1" s="19"/>
      <c r="E1" s="19"/>
      <c r="F1" s="19"/>
      <c r="G1" s="19"/>
      <c r="H1" s="19"/>
      <c r="I1" s="19"/>
      <c r="J1" s="19"/>
      <c r="K1" s="223"/>
      <c r="L1" s="529" t="s">
        <v>256</v>
      </c>
      <c r="M1" s="529"/>
      <c r="N1" s="318">
        <f ca="1">TODAY()</f>
        <v>43969</v>
      </c>
      <c r="O1" s="20"/>
    </row>
    <row r="2" spans="1:42" ht="35" x14ac:dyDescent="0.35">
      <c r="A2" s="14"/>
      <c r="B2" s="465" t="s">
        <v>312</v>
      </c>
      <c r="C2" s="465"/>
      <c r="D2" s="465"/>
      <c r="E2" s="465"/>
      <c r="F2" s="465"/>
      <c r="G2" s="465"/>
      <c r="H2" s="465"/>
      <c r="I2" s="465"/>
      <c r="J2" s="465"/>
      <c r="K2" s="465"/>
      <c r="L2" s="465"/>
      <c r="M2" s="465"/>
      <c r="N2" s="465"/>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36" t="s">
        <v>254</v>
      </c>
      <c r="L4" s="537"/>
      <c r="M4" s="537"/>
      <c r="N4" s="53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19" t="s">
        <v>211</v>
      </c>
      <c r="C5" s="421"/>
      <c r="D5" s="530" t="str">
        <f>'Front Sheet'!C5:C6</f>
        <v>Philip</v>
      </c>
      <c r="E5" s="532" t="str">
        <f>'Front Sheet'!D5:D6</f>
        <v>McGaw</v>
      </c>
      <c r="F5" s="534" t="str">
        <f>'Front Sheet'!G2</f>
        <v>pmcgaw</v>
      </c>
      <c r="G5" s="119">
        <f>'Front Sheet'!J5</f>
        <v>83137730</v>
      </c>
      <c r="H5" s="15"/>
      <c r="I5" s="25"/>
      <c r="J5" s="15"/>
      <c r="K5" s="539" t="s">
        <v>237</v>
      </c>
      <c r="L5" s="540"/>
      <c r="M5" s="540"/>
      <c r="N5" s="541"/>
      <c r="O5" s="16"/>
    </row>
    <row r="6" spans="1:42" ht="18" customHeight="1" thickBot="1" x14ac:dyDescent="0.25">
      <c r="A6" s="14"/>
      <c r="B6" s="422"/>
      <c r="C6" s="424"/>
      <c r="D6" s="531"/>
      <c r="E6" s="533"/>
      <c r="F6" s="535"/>
      <c r="G6" s="120">
        <f>'Front Sheet'!J6</f>
        <v>0</v>
      </c>
      <c r="H6" s="15"/>
      <c r="I6" s="25"/>
      <c r="J6" s="15"/>
      <c r="K6" s="542" t="s">
        <v>237</v>
      </c>
      <c r="L6" s="543"/>
      <c r="M6" s="543"/>
      <c r="N6" s="544"/>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499" t="s">
        <v>232</v>
      </c>
      <c r="C9" s="527"/>
      <c r="D9" s="527"/>
      <c r="E9" s="527"/>
      <c r="F9" s="527"/>
      <c r="G9" s="527"/>
      <c r="H9" s="527"/>
      <c r="I9" s="528"/>
      <c r="J9" s="15"/>
      <c r="K9" s="26" t="s">
        <v>136</v>
      </c>
      <c r="L9" s="89" t="s">
        <v>126</v>
      </c>
      <c r="M9" s="89" t="s">
        <v>128</v>
      </c>
      <c r="N9" s="96" t="s">
        <v>127</v>
      </c>
      <c r="O9" s="16"/>
      <c r="P9" s="165"/>
      <c r="Q9" s="165"/>
      <c r="R9" s="165"/>
      <c r="S9" s="165"/>
      <c r="T9" s="165"/>
    </row>
    <row r="10" spans="1:42" ht="200" customHeight="1" x14ac:dyDescent="0.2">
      <c r="A10" s="14"/>
      <c r="B10" s="502" t="s">
        <v>386</v>
      </c>
      <c r="C10" s="503"/>
      <c r="D10" s="503"/>
      <c r="E10" s="503"/>
      <c r="F10" s="503"/>
      <c r="G10" s="503"/>
      <c r="H10" s="503"/>
      <c r="I10" s="504"/>
      <c r="J10" s="15"/>
      <c r="K10" s="27" t="s">
        <v>109</v>
      </c>
      <c r="L10" s="170"/>
      <c r="M10" s="171"/>
      <c r="N10" s="172"/>
      <c r="O10" s="16"/>
    </row>
    <row r="11" spans="1:42" ht="200" customHeight="1" x14ac:dyDescent="0.2">
      <c r="A11" s="14"/>
      <c r="B11" s="505"/>
      <c r="C11" s="506"/>
      <c r="D11" s="506"/>
      <c r="E11" s="506"/>
      <c r="F11" s="506"/>
      <c r="G11" s="506"/>
      <c r="H11" s="506"/>
      <c r="I11" s="507"/>
      <c r="J11" s="15"/>
      <c r="K11" s="28" t="s">
        <v>110</v>
      </c>
      <c r="L11" s="173"/>
      <c r="M11" s="173"/>
      <c r="N11" s="174"/>
      <c r="O11" s="16"/>
    </row>
    <row r="12" spans="1:42" ht="200" customHeight="1" x14ac:dyDescent="0.2">
      <c r="A12" s="14"/>
      <c r="B12" s="505"/>
      <c r="C12" s="506"/>
      <c r="D12" s="506"/>
      <c r="E12" s="506"/>
      <c r="F12" s="506"/>
      <c r="G12" s="506"/>
      <c r="H12" s="506"/>
      <c r="I12" s="507"/>
      <c r="J12" s="15"/>
      <c r="K12" s="28" t="s">
        <v>111</v>
      </c>
      <c r="L12" s="173"/>
      <c r="M12" s="173"/>
      <c r="N12" s="174"/>
      <c r="O12" s="16"/>
    </row>
    <row r="13" spans="1:42" ht="200" customHeight="1" x14ac:dyDescent="0.2">
      <c r="A13" s="14"/>
      <c r="B13" s="505"/>
      <c r="C13" s="506"/>
      <c r="D13" s="506"/>
      <c r="E13" s="506"/>
      <c r="F13" s="506"/>
      <c r="G13" s="506"/>
      <c r="H13" s="506"/>
      <c r="I13" s="507"/>
      <c r="J13" s="15"/>
      <c r="K13" s="28" t="s">
        <v>112</v>
      </c>
      <c r="L13" s="173"/>
      <c r="M13" s="173"/>
      <c r="N13" s="174"/>
      <c r="O13" s="16"/>
    </row>
    <row r="14" spans="1:42" ht="200" customHeight="1" x14ac:dyDescent="0.2">
      <c r="A14" s="14"/>
      <c r="B14" s="505"/>
      <c r="C14" s="506"/>
      <c r="D14" s="506"/>
      <c r="E14" s="506"/>
      <c r="F14" s="506"/>
      <c r="G14" s="506"/>
      <c r="H14" s="506"/>
      <c r="I14" s="507"/>
      <c r="J14" s="15"/>
      <c r="K14" s="28" t="s">
        <v>113</v>
      </c>
      <c r="L14" s="173"/>
      <c r="M14" s="173"/>
      <c r="N14" s="174"/>
      <c r="O14" s="16"/>
    </row>
    <row r="15" spans="1:42" ht="200" customHeight="1" x14ac:dyDescent="0.2">
      <c r="A15" s="14"/>
      <c r="B15" s="505"/>
      <c r="C15" s="506"/>
      <c r="D15" s="506"/>
      <c r="E15" s="506"/>
      <c r="F15" s="506"/>
      <c r="G15" s="506"/>
      <c r="H15" s="506"/>
      <c r="I15" s="507"/>
      <c r="J15" s="15"/>
      <c r="K15" s="28" t="s">
        <v>114</v>
      </c>
      <c r="L15" s="173"/>
      <c r="M15" s="173"/>
      <c r="N15" s="174"/>
      <c r="O15" s="16"/>
    </row>
    <row r="16" spans="1:42" ht="200" customHeight="1" x14ac:dyDescent="0.2">
      <c r="A16" s="14"/>
      <c r="B16" s="505"/>
      <c r="C16" s="506"/>
      <c r="D16" s="506"/>
      <c r="E16" s="506"/>
      <c r="F16" s="506"/>
      <c r="G16" s="506"/>
      <c r="H16" s="506"/>
      <c r="I16" s="507"/>
      <c r="J16" s="15"/>
      <c r="K16" s="28" t="s">
        <v>115</v>
      </c>
      <c r="L16" s="173"/>
      <c r="M16" s="173"/>
      <c r="N16" s="174"/>
      <c r="O16" s="16"/>
    </row>
    <row r="17" spans="1:42" ht="200" customHeight="1" x14ac:dyDescent="0.2">
      <c r="A17" s="14"/>
      <c r="B17" s="505"/>
      <c r="C17" s="506"/>
      <c r="D17" s="506"/>
      <c r="E17" s="506"/>
      <c r="F17" s="506"/>
      <c r="G17" s="506"/>
      <c r="H17" s="506"/>
      <c r="I17" s="507"/>
      <c r="J17" s="15"/>
      <c r="K17" s="28" t="s">
        <v>116</v>
      </c>
      <c r="L17" s="173"/>
      <c r="M17" s="173"/>
      <c r="N17" s="174"/>
      <c r="O17" s="16"/>
    </row>
    <row r="18" spans="1:42" ht="200" customHeight="1" x14ac:dyDescent="0.2">
      <c r="A18" s="14"/>
      <c r="B18" s="505"/>
      <c r="C18" s="506"/>
      <c r="D18" s="506"/>
      <c r="E18" s="506"/>
      <c r="F18" s="506"/>
      <c r="G18" s="506"/>
      <c r="H18" s="506"/>
      <c r="I18" s="507"/>
      <c r="J18" s="15"/>
      <c r="K18" s="28" t="s">
        <v>117</v>
      </c>
      <c r="L18" s="173"/>
      <c r="M18" s="173"/>
      <c r="N18" s="174"/>
      <c r="O18" s="16"/>
    </row>
    <row r="19" spans="1:42" ht="200" customHeight="1" x14ac:dyDescent="0.2">
      <c r="A19" s="14"/>
      <c r="B19" s="505"/>
      <c r="C19" s="506"/>
      <c r="D19" s="506"/>
      <c r="E19" s="506"/>
      <c r="F19" s="506"/>
      <c r="G19" s="506"/>
      <c r="H19" s="506"/>
      <c r="I19" s="507"/>
      <c r="J19" s="15"/>
      <c r="K19" s="28" t="s">
        <v>118</v>
      </c>
      <c r="L19" s="173"/>
      <c r="M19" s="173"/>
      <c r="N19" s="174"/>
      <c r="O19" s="16"/>
    </row>
    <row r="20" spans="1:42" ht="200" customHeight="1" x14ac:dyDescent="0.2">
      <c r="A20" s="14"/>
      <c r="B20" s="505"/>
      <c r="C20" s="506"/>
      <c r="D20" s="506"/>
      <c r="E20" s="506"/>
      <c r="F20" s="506"/>
      <c r="G20" s="506"/>
      <c r="H20" s="506"/>
      <c r="I20" s="507"/>
      <c r="J20" s="15"/>
      <c r="K20" s="28" t="s">
        <v>119</v>
      </c>
      <c r="L20" s="173"/>
      <c r="M20" s="173"/>
      <c r="N20" s="174"/>
      <c r="O20" s="16"/>
    </row>
    <row r="21" spans="1:42" ht="200" customHeight="1" x14ac:dyDescent="0.2">
      <c r="A21" s="14"/>
      <c r="B21" s="505"/>
      <c r="C21" s="506"/>
      <c r="D21" s="506"/>
      <c r="E21" s="506"/>
      <c r="F21" s="506"/>
      <c r="G21" s="506"/>
      <c r="H21" s="506"/>
      <c r="I21" s="507"/>
      <c r="J21" s="15"/>
      <c r="K21" s="28" t="s">
        <v>120</v>
      </c>
      <c r="L21" s="173"/>
      <c r="M21" s="173"/>
      <c r="N21" s="174"/>
      <c r="O21" s="16"/>
    </row>
    <row r="22" spans="1:42" ht="200" customHeight="1" x14ac:dyDescent="0.2">
      <c r="A22" s="14"/>
      <c r="B22" s="505"/>
      <c r="C22" s="506"/>
      <c r="D22" s="506"/>
      <c r="E22" s="506"/>
      <c r="F22" s="506"/>
      <c r="G22" s="506"/>
      <c r="H22" s="506"/>
      <c r="I22" s="507"/>
      <c r="J22" s="15"/>
      <c r="K22" s="28" t="s">
        <v>121</v>
      </c>
      <c r="L22" s="173"/>
      <c r="M22" s="173"/>
      <c r="N22" s="174"/>
      <c r="O22" s="16"/>
    </row>
    <row r="23" spans="1:42" ht="200" customHeight="1" x14ac:dyDescent="0.2">
      <c r="A23" s="14"/>
      <c r="B23" s="505"/>
      <c r="C23" s="506"/>
      <c r="D23" s="506"/>
      <c r="E23" s="506"/>
      <c r="F23" s="506"/>
      <c r="G23" s="506"/>
      <c r="H23" s="506"/>
      <c r="I23" s="507"/>
      <c r="J23" s="15"/>
      <c r="K23" s="28" t="s">
        <v>122</v>
      </c>
      <c r="L23" s="173"/>
      <c r="M23" s="173"/>
      <c r="N23" s="174"/>
      <c r="O23" s="16"/>
    </row>
    <row r="24" spans="1:42" ht="200" customHeight="1" x14ac:dyDescent="0.2">
      <c r="A24" s="14"/>
      <c r="B24" s="505"/>
      <c r="C24" s="506"/>
      <c r="D24" s="506"/>
      <c r="E24" s="506"/>
      <c r="F24" s="506"/>
      <c r="G24" s="506"/>
      <c r="H24" s="506"/>
      <c r="I24" s="507"/>
      <c r="J24" s="15"/>
      <c r="K24" s="28" t="s">
        <v>123</v>
      </c>
      <c r="L24" s="173"/>
      <c r="M24" s="173"/>
      <c r="N24" s="174"/>
      <c r="O24" s="16"/>
    </row>
    <row r="25" spans="1:42" ht="200" customHeight="1" x14ac:dyDescent="0.2">
      <c r="A25" s="14"/>
      <c r="B25" s="505"/>
      <c r="C25" s="506"/>
      <c r="D25" s="506"/>
      <c r="E25" s="506"/>
      <c r="F25" s="506"/>
      <c r="G25" s="506"/>
      <c r="H25" s="506"/>
      <c r="I25" s="507"/>
      <c r="J25" s="15"/>
      <c r="K25" s="28" t="s">
        <v>124</v>
      </c>
      <c r="L25" s="173"/>
      <c r="M25" s="173"/>
      <c r="N25" s="174"/>
      <c r="O25" s="16"/>
    </row>
    <row r="26" spans="1:42" ht="200" customHeight="1" thickBot="1" x14ac:dyDescent="0.25">
      <c r="A26" s="14"/>
      <c r="B26" s="508"/>
      <c r="C26" s="509"/>
      <c r="D26" s="509"/>
      <c r="E26" s="509"/>
      <c r="F26" s="509"/>
      <c r="G26" s="509"/>
      <c r="H26" s="509"/>
      <c r="I26" s="510"/>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497" t="s">
        <v>134</v>
      </c>
      <c r="C28" s="498"/>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499" t="s">
        <v>137</v>
      </c>
      <c r="C29" s="500"/>
      <c r="D29" s="500"/>
      <c r="E29" s="500"/>
      <c r="F29" s="500"/>
      <c r="G29" s="500"/>
      <c r="H29" s="500"/>
      <c r="I29" s="501"/>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02"/>
      <c r="C30" s="503"/>
      <c r="D30" s="503"/>
      <c r="E30" s="503"/>
      <c r="F30" s="503"/>
      <c r="G30" s="503"/>
      <c r="H30" s="503"/>
      <c r="I30" s="504"/>
      <c r="J30" s="15"/>
      <c r="K30" s="515" t="s">
        <v>97</v>
      </c>
      <c r="L30" s="516"/>
      <c r="M30" s="519"/>
      <c r="N30" s="520"/>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05"/>
      <c r="C31" s="506"/>
      <c r="D31" s="506"/>
      <c r="E31" s="506"/>
      <c r="F31" s="506"/>
      <c r="G31" s="506"/>
      <c r="H31" s="506"/>
      <c r="I31" s="507"/>
      <c r="J31" s="15"/>
      <c r="K31" s="517"/>
      <c r="L31" s="518"/>
      <c r="M31" s="521"/>
      <c r="N31" s="522"/>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05"/>
      <c r="C32" s="506"/>
      <c r="D32" s="506"/>
      <c r="E32" s="506"/>
      <c r="F32" s="506"/>
      <c r="G32" s="506"/>
      <c r="H32" s="506"/>
      <c r="I32" s="507"/>
      <c r="J32" s="15"/>
      <c r="K32" s="517" t="s">
        <v>98</v>
      </c>
      <c r="L32" s="518"/>
      <c r="M32" s="521"/>
      <c r="N32" s="522"/>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05"/>
      <c r="C33" s="506"/>
      <c r="D33" s="506"/>
      <c r="E33" s="506"/>
      <c r="F33" s="506"/>
      <c r="G33" s="506"/>
      <c r="H33" s="506"/>
      <c r="I33" s="507"/>
      <c r="J33" s="15"/>
      <c r="K33" s="517"/>
      <c r="L33" s="518"/>
      <c r="M33" s="521"/>
      <c r="N33" s="522"/>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08"/>
      <c r="C34" s="509"/>
      <c r="D34" s="509"/>
      <c r="E34" s="509"/>
      <c r="F34" s="509"/>
      <c r="G34" s="509"/>
      <c r="H34" s="509"/>
      <c r="I34" s="510"/>
      <c r="J34" s="15"/>
      <c r="K34" s="511" t="s">
        <v>10</v>
      </c>
      <c r="L34" s="512"/>
      <c r="M34" s="513"/>
      <c r="N34" s="51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497" t="s">
        <v>223</v>
      </c>
      <c r="C36" s="498"/>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499" t="s">
        <v>231</v>
      </c>
      <c r="C37" s="500"/>
      <c r="D37" s="500"/>
      <c r="E37" s="500"/>
      <c r="F37" s="500"/>
      <c r="G37" s="500"/>
      <c r="H37" s="500"/>
      <c r="I37" s="501"/>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02"/>
      <c r="C38" s="503"/>
      <c r="D38" s="503"/>
      <c r="E38" s="503"/>
      <c r="F38" s="503"/>
      <c r="G38" s="503"/>
      <c r="H38" s="503"/>
      <c r="I38" s="504"/>
      <c r="J38" s="15"/>
      <c r="K38" s="515" t="s">
        <v>97</v>
      </c>
      <c r="L38" s="516"/>
      <c r="M38" s="519"/>
      <c r="N38" s="520"/>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05"/>
      <c r="C39" s="506"/>
      <c r="D39" s="506"/>
      <c r="E39" s="506"/>
      <c r="F39" s="506"/>
      <c r="G39" s="506"/>
      <c r="H39" s="506"/>
      <c r="I39" s="507"/>
      <c r="J39" s="15"/>
      <c r="K39" s="517"/>
      <c r="L39" s="518"/>
      <c r="M39" s="521"/>
      <c r="N39" s="522"/>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05"/>
      <c r="C40" s="506"/>
      <c r="D40" s="506"/>
      <c r="E40" s="506"/>
      <c r="F40" s="506"/>
      <c r="G40" s="506"/>
      <c r="H40" s="506"/>
      <c r="I40" s="507"/>
      <c r="J40" s="15"/>
      <c r="K40" s="517" t="s">
        <v>157</v>
      </c>
      <c r="L40" s="518"/>
      <c r="M40" s="521"/>
      <c r="N40" s="522"/>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05"/>
      <c r="C41" s="506"/>
      <c r="D41" s="506"/>
      <c r="E41" s="506"/>
      <c r="F41" s="506"/>
      <c r="G41" s="506"/>
      <c r="H41" s="506"/>
      <c r="I41" s="507"/>
      <c r="J41" s="15"/>
      <c r="K41" s="517"/>
      <c r="L41" s="518"/>
      <c r="M41" s="521"/>
      <c r="N41" s="522"/>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05"/>
      <c r="C42" s="506"/>
      <c r="D42" s="506"/>
      <c r="E42" s="506"/>
      <c r="F42" s="506"/>
      <c r="G42" s="506"/>
      <c r="H42" s="506"/>
      <c r="I42" s="507"/>
      <c r="J42" s="15"/>
      <c r="K42" s="523" t="s">
        <v>10</v>
      </c>
      <c r="L42" s="524"/>
      <c r="M42" s="525"/>
      <c r="N42" s="526"/>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05"/>
      <c r="C43" s="506"/>
      <c r="D43" s="509"/>
      <c r="E43" s="509"/>
      <c r="F43" s="509"/>
      <c r="G43" s="509"/>
      <c r="H43" s="509"/>
      <c r="I43" s="510"/>
      <c r="J43" s="15"/>
      <c r="K43" s="511" t="s">
        <v>260</v>
      </c>
      <c r="L43" s="512"/>
      <c r="M43" s="513"/>
      <c r="N43" s="51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497" t="s">
        <v>223</v>
      </c>
      <c r="C46" s="498"/>
      <c r="D46" s="24"/>
      <c r="E46" s="24"/>
      <c r="F46" s="24"/>
      <c r="G46" s="24"/>
      <c r="H46" s="24"/>
      <c r="I46" s="15"/>
      <c r="J46" s="15"/>
      <c r="K46" s="15"/>
      <c r="L46" s="24"/>
      <c r="M46" s="24"/>
      <c r="N46" s="24"/>
      <c r="O46" s="16"/>
    </row>
    <row r="47" spans="1:42" ht="51" customHeight="1" thickBot="1" x14ac:dyDescent="0.25">
      <c r="A47" s="14"/>
      <c r="B47" s="499" t="s">
        <v>230</v>
      </c>
      <c r="C47" s="500"/>
      <c r="D47" s="500"/>
      <c r="E47" s="500"/>
      <c r="F47" s="500"/>
      <c r="G47" s="500"/>
      <c r="H47" s="500"/>
      <c r="I47" s="501"/>
      <c r="J47" s="15"/>
      <c r="K47" s="15"/>
      <c r="L47" s="24"/>
      <c r="M47" s="24"/>
      <c r="N47" s="24"/>
      <c r="O47" s="16"/>
    </row>
    <row r="48" spans="1:42" ht="22.25" customHeight="1" x14ac:dyDescent="0.2">
      <c r="A48" s="14"/>
      <c r="B48" s="502"/>
      <c r="C48" s="503"/>
      <c r="D48" s="503"/>
      <c r="E48" s="503"/>
      <c r="F48" s="503"/>
      <c r="G48" s="503"/>
      <c r="H48" s="503"/>
      <c r="I48" s="504"/>
      <c r="J48" s="15"/>
      <c r="K48" s="515" t="s">
        <v>97</v>
      </c>
      <c r="L48" s="516"/>
      <c r="M48" s="519"/>
      <c r="N48" s="520"/>
      <c r="O48" s="16"/>
    </row>
    <row r="49" spans="1:15" ht="22.25" customHeight="1" x14ac:dyDescent="0.2">
      <c r="A49" s="14"/>
      <c r="B49" s="505"/>
      <c r="C49" s="506"/>
      <c r="D49" s="506"/>
      <c r="E49" s="506"/>
      <c r="F49" s="506"/>
      <c r="G49" s="506"/>
      <c r="H49" s="506"/>
      <c r="I49" s="507"/>
      <c r="J49" s="15"/>
      <c r="K49" s="517"/>
      <c r="L49" s="518"/>
      <c r="M49" s="521"/>
      <c r="N49" s="522"/>
      <c r="O49" s="16"/>
    </row>
    <row r="50" spans="1:15" ht="22.25" customHeight="1" x14ac:dyDescent="0.2">
      <c r="A50" s="14"/>
      <c r="B50" s="505"/>
      <c r="C50" s="506"/>
      <c r="D50" s="506"/>
      <c r="E50" s="506"/>
      <c r="F50" s="506"/>
      <c r="G50" s="506"/>
      <c r="H50" s="506"/>
      <c r="I50" s="507"/>
      <c r="J50" s="15"/>
      <c r="K50" s="517" t="s">
        <v>157</v>
      </c>
      <c r="L50" s="518"/>
      <c r="M50" s="521"/>
      <c r="N50" s="522"/>
      <c r="O50" s="16"/>
    </row>
    <row r="51" spans="1:15" ht="22.25" customHeight="1" x14ac:dyDescent="0.2">
      <c r="A51" s="14"/>
      <c r="B51" s="505"/>
      <c r="C51" s="506"/>
      <c r="D51" s="506"/>
      <c r="E51" s="506"/>
      <c r="F51" s="506"/>
      <c r="G51" s="506"/>
      <c r="H51" s="506"/>
      <c r="I51" s="507"/>
      <c r="J51" s="15"/>
      <c r="K51" s="517"/>
      <c r="L51" s="518"/>
      <c r="M51" s="521"/>
      <c r="N51" s="522"/>
      <c r="O51" s="16"/>
    </row>
    <row r="52" spans="1:15" ht="22.25" customHeight="1" x14ac:dyDescent="0.2">
      <c r="A52" s="14"/>
      <c r="B52" s="505"/>
      <c r="C52" s="506"/>
      <c r="D52" s="506"/>
      <c r="E52" s="506"/>
      <c r="F52" s="506"/>
      <c r="G52" s="506"/>
      <c r="H52" s="506"/>
      <c r="I52" s="507"/>
      <c r="J52" s="15"/>
      <c r="K52" s="523" t="s">
        <v>10</v>
      </c>
      <c r="L52" s="524"/>
      <c r="M52" s="525"/>
      <c r="N52" s="526"/>
      <c r="O52" s="16"/>
    </row>
    <row r="53" spans="1:15" ht="22.25" customHeight="1" thickBot="1" x14ac:dyDescent="0.25">
      <c r="A53" s="14"/>
      <c r="B53" s="508"/>
      <c r="C53" s="509"/>
      <c r="D53" s="509"/>
      <c r="E53" s="509"/>
      <c r="F53" s="509"/>
      <c r="G53" s="509"/>
      <c r="H53" s="509"/>
      <c r="I53" s="510"/>
      <c r="J53" s="15"/>
      <c r="K53" s="511" t="s">
        <v>259</v>
      </c>
      <c r="L53" s="512"/>
      <c r="M53" s="513"/>
      <c r="N53" s="51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497" t="s">
        <v>135</v>
      </c>
      <c r="C56" s="498"/>
      <c r="D56" s="24"/>
      <c r="E56" s="24"/>
      <c r="F56" s="24"/>
      <c r="G56" s="24"/>
      <c r="H56" s="24"/>
      <c r="I56" s="15"/>
      <c r="J56" s="15"/>
      <c r="K56" s="15"/>
      <c r="L56" s="24"/>
      <c r="M56" s="24"/>
      <c r="N56" s="24"/>
      <c r="O56" s="16"/>
    </row>
    <row r="57" spans="1:15" ht="36" customHeight="1" thickBot="1" x14ac:dyDescent="0.25">
      <c r="A57" s="14"/>
      <c r="B57" s="499" t="s">
        <v>156</v>
      </c>
      <c r="C57" s="500"/>
      <c r="D57" s="500"/>
      <c r="E57" s="500"/>
      <c r="F57" s="500"/>
      <c r="G57" s="500"/>
      <c r="H57" s="500"/>
      <c r="I57" s="501"/>
      <c r="J57" s="15"/>
      <c r="K57" s="15"/>
      <c r="L57" s="24"/>
      <c r="M57" s="24"/>
      <c r="N57" s="24"/>
      <c r="O57" s="16"/>
    </row>
    <row r="58" spans="1:15" ht="22.25" customHeight="1" x14ac:dyDescent="0.2">
      <c r="A58" s="14"/>
      <c r="B58" s="502"/>
      <c r="C58" s="503"/>
      <c r="D58" s="503"/>
      <c r="E58" s="503"/>
      <c r="F58" s="503"/>
      <c r="G58" s="503"/>
      <c r="H58" s="503"/>
      <c r="I58" s="504"/>
      <c r="J58" s="15"/>
      <c r="K58" s="515" t="s">
        <v>97</v>
      </c>
      <c r="L58" s="516"/>
      <c r="M58" s="519"/>
      <c r="N58" s="520"/>
      <c r="O58" s="16"/>
    </row>
    <row r="59" spans="1:15" ht="22.25" customHeight="1" x14ac:dyDescent="0.2">
      <c r="A59" s="14"/>
      <c r="B59" s="505"/>
      <c r="C59" s="506"/>
      <c r="D59" s="506"/>
      <c r="E59" s="506"/>
      <c r="F59" s="506"/>
      <c r="G59" s="506"/>
      <c r="H59" s="506"/>
      <c r="I59" s="507"/>
      <c r="J59" s="15"/>
      <c r="K59" s="517"/>
      <c r="L59" s="518"/>
      <c r="M59" s="521"/>
      <c r="N59" s="522"/>
      <c r="O59" s="16"/>
    </row>
    <row r="60" spans="1:15" ht="22.25" customHeight="1" x14ac:dyDescent="0.2">
      <c r="A60" s="14"/>
      <c r="B60" s="505"/>
      <c r="C60" s="506"/>
      <c r="D60" s="506"/>
      <c r="E60" s="506"/>
      <c r="F60" s="506"/>
      <c r="G60" s="506"/>
      <c r="H60" s="506"/>
      <c r="I60" s="507"/>
      <c r="J60" s="15"/>
      <c r="K60" s="517" t="s">
        <v>158</v>
      </c>
      <c r="L60" s="518"/>
      <c r="M60" s="521"/>
      <c r="N60" s="522"/>
      <c r="O60" s="16"/>
    </row>
    <row r="61" spans="1:15" ht="22.25" customHeight="1" x14ac:dyDescent="0.2">
      <c r="A61" s="14"/>
      <c r="B61" s="505"/>
      <c r="C61" s="506"/>
      <c r="D61" s="506"/>
      <c r="E61" s="506"/>
      <c r="F61" s="506"/>
      <c r="G61" s="506"/>
      <c r="H61" s="506"/>
      <c r="I61" s="507"/>
      <c r="J61" s="15"/>
      <c r="K61" s="517"/>
      <c r="L61" s="518"/>
      <c r="M61" s="521"/>
      <c r="N61" s="522"/>
      <c r="O61" s="16"/>
    </row>
    <row r="62" spans="1:15" ht="22.25" customHeight="1" thickBot="1" x14ac:dyDescent="0.25">
      <c r="A62" s="14"/>
      <c r="B62" s="508"/>
      <c r="C62" s="509"/>
      <c r="D62" s="509"/>
      <c r="E62" s="509"/>
      <c r="F62" s="509"/>
      <c r="G62" s="509"/>
      <c r="H62" s="509"/>
      <c r="I62" s="510"/>
      <c r="J62" s="15"/>
      <c r="K62" s="511" t="s">
        <v>10</v>
      </c>
      <c r="L62" s="512"/>
      <c r="M62" s="513"/>
      <c r="N62" s="51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0800-000000000000}"/>
    <dataValidation type="date" operator="greaterThan" allowBlank="1" showInputMessage="1" showErrorMessage="1" promptTitle="Date" prompt="Please enter the date in the format dd mmm yyy" sqref="M34:N34 M42:N43 M52:N53 M62:N62" xr:uid="{00000000-0002-0000-0800-000001000000}">
      <formula1>43607</formula1>
    </dataValidation>
    <dataValidation allowBlank="1" showInputMessage="1" showErrorMessage="1" promptTitle="Copy &amp; Paste from Word" prompt="To allow some splitting of text copy and paste paragraphs from Word._x000a_Double click to enable pasting." sqref="B58:I62 B48:I53 B38:I43 B30:I34" xr:uid="{00000000-0002-0000-08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E7734397-3493-416D-8F2E-E4295AFF141B}">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E4A51CB5-3488-42C6-B604-815698417994}">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867B41B0-DBB1-43B0-9EB2-88763BBD65C1}">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B08F0B86-B74B-4EB9-95CC-6FE0211F36A2}">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6B9E8DEE-D3A3-4A02-B568-1A4EA056F622}">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59D339D1-56B7-4F83-B951-791464E908A2}">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69632BA5-53CB-4537-9083-9B37506CA7AF}">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50D9D528-2B7E-41F8-BBC5-5B7B4F6AB50E}">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3E701497-88AF-4348-ABEE-A6306445AB7C}">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4FF207C2-45B4-47D3-B287-C34A90F7780D}">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32CDFEBF-3CB0-45F2-A9BD-74BBCBF63D3B}">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E93FC65C-5C7E-4043-954E-81A09126CA31}">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D6EBE76E-D181-40E1-A590-19FD98F149F3}">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24678B89-752B-4958-ACE8-151B0FB32569}">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FF92A16D-CA04-4B2F-8513-A99DFDAF9BA0}">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CEC01CDB-37A8-40DB-ADC9-DB4B50644386}">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56BFA31A-CEC4-4FBF-BFC1-68407F191318}">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74E37A61-94CF-4189-AA16-0139477539A0}">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C2C8C4BF-565F-4B3D-AE75-6BB0F442C830}">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F96375D9-C865-4D57-81DF-5BEE6DD7DC16}">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Attendance" prompt="Attendance &amp; Engagement with the programme:_x000a_Excellent (90-100%)_x000a_Satisfactory (80-90%)_x000a_Concerning (&lt;80%)" xr:uid="{00000000-0002-0000-0800-000003000000}">
          <x14:formula1>
            <xm:f>'Drop Down Lists'!$A$38:$A$40</xm:f>
          </x14:formula1>
          <xm:sqref>G54 G44</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0800-000004000000}">
          <x14:formula1>
            <xm:f>'Drop Down Lists'!$A$22:$A$26</xm:f>
          </x14:formula1>
          <xm:sqref>L10:L26</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0800-000005000000}">
          <x14:formula1>
            <xm:f>'Drop Down Lists'!$A$22:$A$26</xm:f>
          </x14:formula1>
          <xm:sqref>M10:M26</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0800-000006000000}">
          <x14:formula1>
            <xm:f>'Drop Down Lists'!$A$2:$A$3</xm:f>
          </x14:formula1>
          <xm:sqref>C44 C54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0800-000007000000}">
          <x14:formula1>
            <xm:f>'Drop Down Lists'!$A$2:$A$3</xm:f>
          </x14:formula1>
          <xm:sqref>E44 E54</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0800-000008000000}">
          <x14:formula1>
            <xm:f>'Drop Down Lists'!$A$2:$A$3</xm:f>
          </x14:formula1>
          <xm:sqref>I44 I54</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0800-000009000000}">
          <x14:formula1>
            <xm:f>'Drop Down Lists'!$A$22:$A$26</xm:f>
          </x14:formula1>
          <xm:sqref>N10:N26</xm:sqref>
        </x14:dataValidation>
        <x14:dataValidation type="list" allowBlank="1" showInputMessage="1" showErrorMessage="1" promptTitle="Work Location(s)" prompt="Please select the MAIN work location(s) you have been based at during this period._x000a__x000a_N.B. Warwick University is JLR Research at Warwick" xr:uid="{00000000-0002-0000-0800-00000A000000}">
          <x14:formula1>
            <xm:f>'Drop Down Lists'!$G$2:$G$21</xm:f>
          </x14:formula1>
          <xm:sqref>K5:N6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pageSetUpPr fitToPage="1"/>
  </sheetPr>
  <dimension ref="A1:AP168"/>
  <sheetViews>
    <sheetView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Y1 R4</v>
      </c>
      <c r="B1" s="19"/>
      <c r="C1" s="19"/>
      <c r="D1" s="19"/>
      <c r="E1" s="19"/>
      <c r="F1" s="19"/>
      <c r="G1" s="19"/>
      <c r="H1" s="19"/>
      <c r="I1" s="19"/>
      <c r="J1" s="19"/>
      <c r="K1" s="223"/>
      <c r="L1" s="529" t="s">
        <v>256</v>
      </c>
      <c r="M1" s="529"/>
      <c r="N1" s="318">
        <f ca="1">TODAY()</f>
        <v>43969</v>
      </c>
      <c r="O1" s="20"/>
    </row>
    <row r="2" spans="1:42" ht="35" x14ac:dyDescent="0.35">
      <c r="A2" s="14"/>
      <c r="B2" s="465" t="s">
        <v>313</v>
      </c>
      <c r="C2" s="465"/>
      <c r="D2" s="465"/>
      <c r="E2" s="465"/>
      <c r="F2" s="465"/>
      <c r="G2" s="465"/>
      <c r="H2" s="465"/>
      <c r="I2" s="465"/>
      <c r="J2" s="465"/>
      <c r="K2" s="465"/>
      <c r="L2" s="465"/>
      <c r="M2" s="465"/>
      <c r="N2" s="465"/>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36" t="s">
        <v>254</v>
      </c>
      <c r="L4" s="537"/>
      <c r="M4" s="537"/>
      <c r="N4" s="53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19" t="s">
        <v>211</v>
      </c>
      <c r="C5" s="421"/>
      <c r="D5" s="530" t="str">
        <f>'Front Sheet'!C5:C6</f>
        <v>Philip</v>
      </c>
      <c r="E5" s="532" t="str">
        <f>'Front Sheet'!D5:D6</f>
        <v>McGaw</v>
      </c>
      <c r="F5" s="534" t="str">
        <f>'Front Sheet'!G2</f>
        <v>pmcgaw</v>
      </c>
      <c r="G5" s="119">
        <f>'Front Sheet'!J5</f>
        <v>83137730</v>
      </c>
      <c r="H5" s="15"/>
      <c r="I5" s="25"/>
      <c r="J5" s="15"/>
      <c r="K5" s="539"/>
      <c r="L5" s="540"/>
      <c r="M5" s="540"/>
      <c r="N5" s="541"/>
      <c r="O5" s="16"/>
    </row>
    <row r="6" spans="1:42" ht="18" customHeight="1" thickBot="1" x14ac:dyDescent="0.25">
      <c r="A6" s="14"/>
      <c r="B6" s="422"/>
      <c r="C6" s="424"/>
      <c r="D6" s="531"/>
      <c r="E6" s="533"/>
      <c r="F6" s="535"/>
      <c r="G6" s="120">
        <f>'Front Sheet'!J6</f>
        <v>0</v>
      </c>
      <c r="H6" s="15"/>
      <c r="I6" s="25"/>
      <c r="J6" s="15"/>
      <c r="K6" s="542"/>
      <c r="L6" s="543"/>
      <c r="M6" s="543"/>
      <c r="N6" s="544"/>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499" t="s">
        <v>232</v>
      </c>
      <c r="C9" s="527"/>
      <c r="D9" s="527"/>
      <c r="E9" s="527"/>
      <c r="F9" s="527"/>
      <c r="G9" s="527"/>
      <c r="H9" s="527"/>
      <c r="I9" s="528"/>
      <c r="J9" s="15"/>
      <c r="K9" s="26" t="s">
        <v>136</v>
      </c>
      <c r="L9" s="89" t="s">
        <v>126</v>
      </c>
      <c r="M9" s="89" t="s">
        <v>128</v>
      </c>
      <c r="N9" s="96" t="s">
        <v>127</v>
      </c>
      <c r="O9" s="16"/>
      <c r="P9" s="165"/>
      <c r="Q9" s="165"/>
      <c r="R9" s="165"/>
      <c r="S9" s="165"/>
      <c r="T9" s="165"/>
    </row>
    <row r="10" spans="1:42" ht="22.25" customHeight="1" x14ac:dyDescent="0.2">
      <c r="A10" s="14"/>
      <c r="B10" s="502"/>
      <c r="C10" s="503"/>
      <c r="D10" s="503"/>
      <c r="E10" s="503"/>
      <c r="F10" s="503"/>
      <c r="G10" s="503"/>
      <c r="H10" s="503"/>
      <c r="I10" s="504"/>
      <c r="J10" s="15"/>
      <c r="K10" s="27" t="s">
        <v>109</v>
      </c>
      <c r="L10" s="170"/>
      <c r="M10" s="171"/>
      <c r="N10" s="172"/>
      <c r="O10" s="16"/>
    </row>
    <row r="11" spans="1:42" ht="22.25" customHeight="1" x14ac:dyDescent="0.2">
      <c r="A11" s="14"/>
      <c r="B11" s="505"/>
      <c r="C11" s="506"/>
      <c r="D11" s="506"/>
      <c r="E11" s="506"/>
      <c r="F11" s="506"/>
      <c r="G11" s="506"/>
      <c r="H11" s="506"/>
      <c r="I11" s="507"/>
      <c r="J11" s="15"/>
      <c r="K11" s="28" t="s">
        <v>110</v>
      </c>
      <c r="L11" s="173"/>
      <c r="M11" s="173"/>
      <c r="N11" s="174"/>
      <c r="O11" s="16"/>
    </row>
    <row r="12" spans="1:42" ht="22.25" customHeight="1" x14ac:dyDescent="0.2">
      <c r="A12" s="14"/>
      <c r="B12" s="505"/>
      <c r="C12" s="506"/>
      <c r="D12" s="506"/>
      <c r="E12" s="506"/>
      <c r="F12" s="506"/>
      <c r="G12" s="506"/>
      <c r="H12" s="506"/>
      <c r="I12" s="507"/>
      <c r="J12" s="15"/>
      <c r="K12" s="28" t="s">
        <v>111</v>
      </c>
      <c r="L12" s="173"/>
      <c r="M12" s="173"/>
      <c r="N12" s="174"/>
      <c r="O12" s="16"/>
    </row>
    <row r="13" spans="1:42" ht="22.25" customHeight="1" x14ac:dyDescent="0.2">
      <c r="A13" s="14"/>
      <c r="B13" s="505"/>
      <c r="C13" s="506"/>
      <c r="D13" s="506"/>
      <c r="E13" s="506"/>
      <c r="F13" s="506"/>
      <c r="G13" s="506"/>
      <c r="H13" s="506"/>
      <c r="I13" s="507"/>
      <c r="J13" s="15"/>
      <c r="K13" s="28" t="s">
        <v>112</v>
      </c>
      <c r="L13" s="173"/>
      <c r="M13" s="173"/>
      <c r="N13" s="174"/>
      <c r="O13" s="16"/>
    </row>
    <row r="14" spans="1:42" ht="22.25" customHeight="1" x14ac:dyDescent="0.2">
      <c r="A14" s="14"/>
      <c r="B14" s="505"/>
      <c r="C14" s="506"/>
      <c r="D14" s="506"/>
      <c r="E14" s="506"/>
      <c r="F14" s="506"/>
      <c r="G14" s="506"/>
      <c r="H14" s="506"/>
      <c r="I14" s="507"/>
      <c r="J14" s="15"/>
      <c r="K14" s="28" t="s">
        <v>113</v>
      </c>
      <c r="L14" s="173"/>
      <c r="M14" s="173"/>
      <c r="N14" s="174"/>
      <c r="O14" s="16"/>
    </row>
    <row r="15" spans="1:42" ht="22.25" customHeight="1" x14ac:dyDescent="0.2">
      <c r="A15" s="14"/>
      <c r="B15" s="505"/>
      <c r="C15" s="506"/>
      <c r="D15" s="506"/>
      <c r="E15" s="506"/>
      <c r="F15" s="506"/>
      <c r="G15" s="506"/>
      <c r="H15" s="506"/>
      <c r="I15" s="507"/>
      <c r="J15" s="15"/>
      <c r="K15" s="28" t="s">
        <v>114</v>
      </c>
      <c r="L15" s="173"/>
      <c r="M15" s="173"/>
      <c r="N15" s="174"/>
      <c r="O15" s="16"/>
    </row>
    <row r="16" spans="1:42" ht="22.25" customHeight="1" x14ac:dyDescent="0.2">
      <c r="A16" s="14"/>
      <c r="B16" s="505"/>
      <c r="C16" s="506"/>
      <c r="D16" s="506"/>
      <c r="E16" s="506"/>
      <c r="F16" s="506"/>
      <c r="G16" s="506"/>
      <c r="H16" s="506"/>
      <c r="I16" s="507"/>
      <c r="J16" s="15"/>
      <c r="K16" s="28" t="s">
        <v>115</v>
      </c>
      <c r="L16" s="173"/>
      <c r="M16" s="173"/>
      <c r="N16" s="174"/>
      <c r="O16" s="16"/>
    </row>
    <row r="17" spans="1:42" ht="22.25" customHeight="1" x14ac:dyDescent="0.2">
      <c r="A17" s="14"/>
      <c r="B17" s="505"/>
      <c r="C17" s="506"/>
      <c r="D17" s="506"/>
      <c r="E17" s="506"/>
      <c r="F17" s="506"/>
      <c r="G17" s="506"/>
      <c r="H17" s="506"/>
      <c r="I17" s="507"/>
      <c r="J17" s="15"/>
      <c r="K17" s="28" t="s">
        <v>116</v>
      </c>
      <c r="L17" s="173"/>
      <c r="M17" s="173"/>
      <c r="N17" s="174"/>
      <c r="O17" s="16"/>
    </row>
    <row r="18" spans="1:42" ht="22.25" customHeight="1" x14ac:dyDescent="0.2">
      <c r="A18" s="14"/>
      <c r="B18" s="505"/>
      <c r="C18" s="506"/>
      <c r="D18" s="506"/>
      <c r="E18" s="506"/>
      <c r="F18" s="506"/>
      <c r="G18" s="506"/>
      <c r="H18" s="506"/>
      <c r="I18" s="507"/>
      <c r="J18" s="15"/>
      <c r="K18" s="28" t="s">
        <v>117</v>
      </c>
      <c r="L18" s="173"/>
      <c r="M18" s="173"/>
      <c r="N18" s="174"/>
      <c r="O18" s="16"/>
    </row>
    <row r="19" spans="1:42" ht="22.25" customHeight="1" x14ac:dyDescent="0.2">
      <c r="A19" s="14"/>
      <c r="B19" s="505"/>
      <c r="C19" s="506"/>
      <c r="D19" s="506"/>
      <c r="E19" s="506"/>
      <c r="F19" s="506"/>
      <c r="G19" s="506"/>
      <c r="H19" s="506"/>
      <c r="I19" s="507"/>
      <c r="J19" s="15"/>
      <c r="K19" s="28" t="s">
        <v>118</v>
      </c>
      <c r="L19" s="173"/>
      <c r="M19" s="173"/>
      <c r="N19" s="174"/>
      <c r="O19" s="16"/>
    </row>
    <row r="20" spans="1:42" ht="22.25" customHeight="1" x14ac:dyDescent="0.2">
      <c r="A20" s="14"/>
      <c r="B20" s="505"/>
      <c r="C20" s="506"/>
      <c r="D20" s="506"/>
      <c r="E20" s="506"/>
      <c r="F20" s="506"/>
      <c r="G20" s="506"/>
      <c r="H20" s="506"/>
      <c r="I20" s="507"/>
      <c r="J20" s="15"/>
      <c r="K20" s="28" t="s">
        <v>119</v>
      </c>
      <c r="L20" s="173"/>
      <c r="M20" s="173"/>
      <c r="N20" s="174"/>
      <c r="O20" s="16"/>
    </row>
    <row r="21" spans="1:42" ht="22.25" customHeight="1" x14ac:dyDescent="0.2">
      <c r="A21" s="14"/>
      <c r="B21" s="505"/>
      <c r="C21" s="506"/>
      <c r="D21" s="506"/>
      <c r="E21" s="506"/>
      <c r="F21" s="506"/>
      <c r="G21" s="506"/>
      <c r="H21" s="506"/>
      <c r="I21" s="507"/>
      <c r="J21" s="15"/>
      <c r="K21" s="28" t="s">
        <v>120</v>
      </c>
      <c r="L21" s="173"/>
      <c r="M21" s="173"/>
      <c r="N21" s="174"/>
      <c r="O21" s="16"/>
    </row>
    <row r="22" spans="1:42" ht="22.25" customHeight="1" x14ac:dyDescent="0.2">
      <c r="A22" s="14"/>
      <c r="B22" s="505"/>
      <c r="C22" s="506"/>
      <c r="D22" s="506"/>
      <c r="E22" s="506"/>
      <c r="F22" s="506"/>
      <c r="G22" s="506"/>
      <c r="H22" s="506"/>
      <c r="I22" s="507"/>
      <c r="J22" s="15"/>
      <c r="K22" s="28" t="s">
        <v>121</v>
      </c>
      <c r="L22" s="173"/>
      <c r="M22" s="173"/>
      <c r="N22" s="174"/>
      <c r="O22" s="16"/>
    </row>
    <row r="23" spans="1:42" ht="22.25" customHeight="1" x14ac:dyDescent="0.2">
      <c r="A23" s="14"/>
      <c r="B23" s="505"/>
      <c r="C23" s="506"/>
      <c r="D23" s="506"/>
      <c r="E23" s="506"/>
      <c r="F23" s="506"/>
      <c r="G23" s="506"/>
      <c r="H23" s="506"/>
      <c r="I23" s="507"/>
      <c r="J23" s="15"/>
      <c r="K23" s="28" t="s">
        <v>122</v>
      </c>
      <c r="L23" s="173"/>
      <c r="M23" s="173"/>
      <c r="N23" s="174"/>
      <c r="O23" s="16"/>
    </row>
    <row r="24" spans="1:42" ht="22.25" customHeight="1" x14ac:dyDescent="0.2">
      <c r="A24" s="14"/>
      <c r="B24" s="505"/>
      <c r="C24" s="506"/>
      <c r="D24" s="506"/>
      <c r="E24" s="506"/>
      <c r="F24" s="506"/>
      <c r="G24" s="506"/>
      <c r="H24" s="506"/>
      <c r="I24" s="507"/>
      <c r="J24" s="15"/>
      <c r="K24" s="28" t="s">
        <v>123</v>
      </c>
      <c r="L24" s="173"/>
      <c r="M24" s="173"/>
      <c r="N24" s="174"/>
      <c r="O24" s="16"/>
    </row>
    <row r="25" spans="1:42" ht="22.25" customHeight="1" x14ac:dyDescent="0.2">
      <c r="A25" s="14"/>
      <c r="B25" s="505"/>
      <c r="C25" s="506"/>
      <c r="D25" s="506"/>
      <c r="E25" s="506"/>
      <c r="F25" s="506"/>
      <c r="G25" s="506"/>
      <c r="H25" s="506"/>
      <c r="I25" s="507"/>
      <c r="J25" s="15"/>
      <c r="K25" s="28" t="s">
        <v>124</v>
      </c>
      <c r="L25" s="173"/>
      <c r="M25" s="173"/>
      <c r="N25" s="174"/>
      <c r="O25" s="16"/>
    </row>
    <row r="26" spans="1:42" ht="22.25" customHeight="1" thickBot="1" x14ac:dyDescent="0.25">
      <c r="A26" s="14"/>
      <c r="B26" s="508"/>
      <c r="C26" s="509"/>
      <c r="D26" s="509"/>
      <c r="E26" s="509"/>
      <c r="F26" s="509"/>
      <c r="G26" s="509"/>
      <c r="H26" s="509"/>
      <c r="I26" s="510"/>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497" t="s">
        <v>134</v>
      </c>
      <c r="C28" s="498"/>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499" t="s">
        <v>137</v>
      </c>
      <c r="C29" s="500"/>
      <c r="D29" s="500"/>
      <c r="E29" s="500"/>
      <c r="F29" s="500"/>
      <c r="G29" s="500"/>
      <c r="H29" s="500"/>
      <c r="I29" s="501"/>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02"/>
      <c r="C30" s="503"/>
      <c r="D30" s="503"/>
      <c r="E30" s="503"/>
      <c r="F30" s="503"/>
      <c r="G30" s="503"/>
      <c r="H30" s="503"/>
      <c r="I30" s="504"/>
      <c r="J30" s="15"/>
      <c r="K30" s="515" t="s">
        <v>97</v>
      </c>
      <c r="L30" s="516"/>
      <c r="M30" s="519"/>
      <c r="N30" s="520"/>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05"/>
      <c r="C31" s="506"/>
      <c r="D31" s="506"/>
      <c r="E31" s="506"/>
      <c r="F31" s="506"/>
      <c r="G31" s="506"/>
      <c r="H31" s="506"/>
      <c r="I31" s="507"/>
      <c r="J31" s="15"/>
      <c r="K31" s="517"/>
      <c r="L31" s="518"/>
      <c r="M31" s="521"/>
      <c r="N31" s="522"/>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05"/>
      <c r="C32" s="506"/>
      <c r="D32" s="506"/>
      <c r="E32" s="506"/>
      <c r="F32" s="506"/>
      <c r="G32" s="506"/>
      <c r="H32" s="506"/>
      <c r="I32" s="507"/>
      <c r="J32" s="15"/>
      <c r="K32" s="517" t="s">
        <v>98</v>
      </c>
      <c r="L32" s="518"/>
      <c r="M32" s="521"/>
      <c r="N32" s="522"/>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05"/>
      <c r="C33" s="506"/>
      <c r="D33" s="506"/>
      <c r="E33" s="506"/>
      <c r="F33" s="506"/>
      <c r="G33" s="506"/>
      <c r="H33" s="506"/>
      <c r="I33" s="507"/>
      <c r="J33" s="15"/>
      <c r="K33" s="517"/>
      <c r="L33" s="518"/>
      <c r="M33" s="521"/>
      <c r="N33" s="522"/>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08"/>
      <c r="C34" s="509"/>
      <c r="D34" s="509"/>
      <c r="E34" s="509"/>
      <c r="F34" s="509"/>
      <c r="G34" s="509"/>
      <c r="H34" s="509"/>
      <c r="I34" s="510"/>
      <c r="J34" s="15"/>
      <c r="K34" s="511" t="s">
        <v>10</v>
      </c>
      <c r="L34" s="512"/>
      <c r="M34" s="513"/>
      <c r="N34" s="51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497" t="s">
        <v>223</v>
      </c>
      <c r="C36" s="498"/>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499" t="s">
        <v>231</v>
      </c>
      <c r="C37" s="500"/>
      <c r="D37" s="500"/>
      <c r="E37" s="500"/>
      <c r="F37" s="500"/>
      <c r="G37" s="500"/>
      <c r="H37" s="500"/>
      <c r="I37" s="501"/>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02"/>
      <c r="C38" s="503"/>
      <c r="D38" s="503"/>
      <c r="E38" s="503"/>
      <c r="F38" s="503"/>
      <c r="G38" s="503"/>
      <c r="H38" s="503"/>
      <c r="I38" s="504"/>
      <c r="J38" s="15"/>
      <c r="K38" s="515" t="s">
        <v>97</v>
      </c>
      <c r="L38" s="516"/>
      <c r="M38" s="519"/>
      <c r="N38" s="520"/>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05"/>
      <c r="C39" s="506"/>
      <c r="D39" s="506"/>
      <c r="E39" s="506"/>
      <c r="F39" s="506"/>
      <c r="G39" s="506"/>
      <c r="H39" s="506"/>
      <c r="I39" s="507"/>
      <c r="J39" s="15"/>
      <c r="K39" s="517"/>
      <c r="L39" s="518"/>
      <c r="M39" s="521"/>
      <c r="N39" s="522"/>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05"/>
      <c r="C40" s="506"/>
      <c r="D40" s="506"/>
      <c r="E40" s="506"/>
      <c r="F40" s="506"/>
      <c r="G40" s="506"/>
      <c r="H40" s="506"/>
      <c r="I40" s="507"/>
      <c r="J40" s="15"/>
      <c r="K40" s="517" t="s">
        <v>157</v>
      </c>
      <c r="L40" s="518"/>
      <c r="M40" s="521"/>
      <c r="N40" s="522"/>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05"/>
      <c r="C41" s="506"/>
      <c r="D41" s="506"/>
      <c r="E41" s="506"/>
      <c r="F41" s="506"/>
      <c r="G41" s="506"/>
      <c r="H41" s="506"/>
      <c r="I41" s="507"/>
      <c r="J41" s="15"/>
      <c r="K41" s="517"/>
      <c r="L41" s="518"/>
      <c r="M41" s="521"/>
      <c r="N41" s="522"/>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05"/>
      <c r="C42" s="506"/>
      <c r="D42" s="506"/>
      <c r="E42" s="506"/>
      <c r="F42" s="506"/>
      <c r="G42" s="506"/>
      <c r="H42" s="506"/>
      <c r="I42" s="507"/>
      <c r="J42" s="15"/>
      <c r="K42" s="523" t="s">
        <v>10</v>
      </c>
      <c r="L42" s="524"/>
      <c r="M42" s="525"/>
      <c r="N42" s="526"/>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05"/>
      <c r="C43" s="506"/>
      <c r="D43" s="509"/>
      <c r="E43" s="509"/>
      <c r="F43" s="509"/>
      <c r="G43" s="509"/>
      <c r="H43" s="509"/>
      <c r="I43" s="510"/>
      <c r="J43" s="15"/>
      <c r="K43" s="511" t="s">
        <v>260</v>
      </c>
      <c r="L43" s="512"/>
      <c r="M43" s="513"/>
      <c r="N43" s="51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497" t="s">
        <v>223</v>
      </c>
      <c r="C46" s="498"/>
      <c r="D46" s="24"/>
      <c r="E46" s="24"/>
      <c r="F46" s="24"/>
      <c r="G46" s="24"/>
      <c r="H46" s="24"/>
      <c r="I46" s="15"/>
      <c r="J46" s="15"/>
      <c r="K46" s="15"/>
      <c r="L46" s="24"/>
      <c r="M46" s="24"/>
      <c r="N46" s="24"/>
      <c r="O46" s="16"/>
    </row>
    <row r="47" spans="1:42" ht="51" customHeight="1" thickBot="1" x14ac:dyDescent="0.25">
      <c r="A47" s="14"/>
      <c r="B47" s="499" t="s">
        <v>230</v>
      </c>
      <c r="C47" s="500"/>
      <c r="D47" s="500"/>
      <c r="E47" s="500"/>
      <c r="F47" s="500"/>
      <c r="G47" s="500"/>
      <c r="H47" s="500"/>
      <c r="I47" s="501"/>
      <c r="J47" s="15"/>
      <c r="K47" s="15"/>
      <c r="L47" s="24"/>
      <c r="M47" s="24"/>
      <c r="N47" s="24"/>
      <c r="O47" s="16"/>
    </row>
    <row r="48" spans="1:42" ht="22.25" customHeight="1" x14ac:dyDescent="0.2">
      <c r="A48" s="14"/>
      <c r="B48" s="502"/>
      <c r="C48" s="503"/>
      <c r="D48" s="503"/>
      <c r="E48" s="503"/>
      <c r="F48" s="503"/>
      <c r="G48" s="503"/>
      <c r="H48" s="503"/>
      <c r="I48" s="504"/>
      <c r="J48" s="15"/>
      <c r="K48" s="515" t="s">
        <v>97</v>
      </c>
      <c r="L48" s="516"/>
      <c r="M48" s="519"/>
      <c r="N48" s="520"/>
      <c r="O48" s="16"/>
    </row>
    <row r="49" spans="1:15" ht="22.25" customHeight="1" x14ac:dyDescent="0.2">
      <c r="A49" s="14"/>
      <c r="B49" s="505"/>
      <c r="C49" s="506"/>
      <c r="D49" s="506"/>
      <c r="E49" s="506"/>
      <c r="F49" s="506"/>
      <c r="G49" s="506"/>
      <c r="H49" s="506"/>
      <c r="I49" s="507"/>
      <c r="J49" s="15"/>
      <c r="K49" s="517"/>
      <c r="L49" s="518"/>
      <c r="M49" s="521"/>
      <c r="N49" s="522"/>
      <c r="O49" s="16"/>
    </row>
    <row r="50" spans="1:15" ht="22.25" customHeight="1" x14ac:dyDescent="0.2">
      <c r="A50" s="14"/>
      <c r="B50" s="505"/>
      <c r="C50" s="506"/>
      <c r="D50" s="506"/>
      <c r="E50" s="506"/>
      <c r="F50" s="506"/>
      <c r="G50" s="506"/>
      <c r="H50" s="506"/>
      <c r="I50" s="507"/>
      <c r="J50" s="15"/>
      <c r="K50" s="517" t="s">
        <v>157</v>
      </c>
      <c r="L50" s="518"/>
      <c r="M50" s="521"/>
      <c r="N50" s="522"/>
      <c r="O50" s="16"/>
    </row>
    <row r="51" spans="1:15" ht="22.25" customHeight="1" x14ac:dyDescent="0.2">
      <c r="A51" s="14"/>
      <c r="B51" s="505"/>
      <c r="C51" s="506"/>
      <c r="D51" s="506"/>
      <c r="E51" s="506"/>
      <c r="F51" s="506"/>
      <c r="G51" s="506"/>
      <c r="H51" s="506"/>
      <c r="I51" s="507"/>
      <c r="J51" s="15"/>
      <c r="K51" s="517"/>
      <c r="L51" s="518"/>
      <c r="M51" s="521"/>
      <c r="N51" s="522"/>
      <c r="O51" s="16"/>
    </row>
    <row r="52" spans="1:15" ht="22.25" customHeight="1" x14ac:dyDescent="0.2">
      <c r="A52" s="14"/>
      <c r="B52" s="505"/>
      <c r="C52" s="506"/>
      <c r="D52" s="506"/>
      <c r="E52" s="506"/>
      <c r="F52" s="506"/>
      <c r="G52" s="506"/>
      <c r="H52" s="506"/>
      <c r="I52" s="507"/>
      <c r="J52" s="15"/>
      <c r="K52" s="523" t="s">
        <v>10</v>
      </c>
      <c r="L52" s="524"/>
      <c r="M52" s="525"/>
      <c r="N52" s="526"/>
      <c r="O52" s="16"/>
    </row>
    <row r="53" spans="1:15" ht="22.25" customHeight="1" thickBot="1" x14ac:dyDescent="0.25">
      <c r="A53" s="14"/>
      <c r="B53" s="508"/>
      <c r="C53" s="509"/>
      <c r="D53" s="509"/>
      <c r="E53" s="509"/>
      <c r="F53" s="509"/>
      <c r="G53" s="509"/>
      <c r="H53" s="509"/>
      <c r="I53" s="510"/>
      <c r="J53" s="15"/>
      <c r="K53" s="511" t="s">
        <v>259</v>
      </c>
      <c r="L53" s="512"/>
      <c r="M53" s="513"/>
      <c r="N53" s="51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497" t="s">
        <v>135</v>
      </c>
      <c r="C56" s="498"/>
      <c r="D56" s="24"/>
      <c r="E56" s="24"/>
      <c r="F56" s="24"/>
      <c r="G56" s="24"/>
      <c r="H56" s="24"/>
      <c r="I56" s="15"/>
      <c r="J56" s="15"/>
      <c r="K56" s="15"/>
      <c r="L56" s="24"/>
      <c r="M56" s="24"/>
      <c r="N56" s="24"/>
      <c r="O56" s="16"/>
    </row>
    <row r="57" spans="1:15" ht="36" customHeight="1" thickBot="1" x14ac:dyDescent="0.25">
      <c r="A57" s="14"/>
      <c r="B57" s="499" t="s">
        <v>156</v>
      </c>
      <c r="C57" s="500"/>
      <c r="D57" s="500"/>
      <c r="E57" s="500"/>
      <c r="F57" s="500"/>
      <c r="G57" s="500"/>
      <c r="H57" s="500"/>
      <c r="I57" s="501"/>
      <c r="J57" s="15"/>
      <c r="K57" s="15"/>
      <c r="L57" s="24"/>
      <c r="M57" s="24"/>
      <c r="N57" s="24"/>
      <c r="O57" s="16"/>
    </row>
    <row r="58" spans="1:15" ht="22.25" customHeight="1" x14ac:dyDescent="0.2">
      <c r="A58" s="14"/>
      <c r="B58" s="502"/>
      <c r="C58" s="503"/>
      <c r="D58" s="503"/>
      <c r="E58" s="503"/>
      <c r="F58" s="503"/>
      <c r="G58" s="503"/>
      <c r="H58" s="503"/>
      <c r="I58" s="504"/>
      <c r="J58" s="15"/>
      <c r="K58" s="515" t="s">
        <v>97</v>
      </c>
      <c r="L58" s="516"/>
      <c r="M58" s="519"/>
      <c r="N58" s="520"/>
      <c r="O58" s="16"/>
    </row>
    <row r="59" spans="1:15" ht="22.25" customHeight="1" x14ac:dyDescent="0.2">
      <c r="A59" s="14"/>
      <c r="B59" s="505"/>
      <c r="C59" s="506"/>
      <c r="D59" s="506"/>
      <c r="E59" s="506"/>
      <c r="F59" s="506"/>
      <c r="G59" s="506"/>
      <c r="H59" s="506"/>
      <c r="I59" s="507"/>
      <c r="J59" s="15"/>
      <c r="K59" s="517"/>
      <c r="L59" s="518"/>
      <c r="M59" s="521"/>
      <c r="N59" s="522"/>
      <c r="O59" s="16"/>
    </row>
    <row r="60" spans="1:15" ht="22.25" customHeight="1" x14ac:dyDescent="0.2">
      <c r="A60" s="14"/>
      <c r="B60" s="505"/>
      <c r="C60" s="506"/>
      <c r="D60" s="506"/>
      <c r="E60" s="506"/>
      <c r="F60" s="506"/>
      <c r="G60" s="506"/>
      <c r="H60" s="506"/>
      <c r="I60" s="507"/>
      <c r="J60" s="15"/>
      <c r="K60" s="517" t="s">
        <v>158</v>
      </c>
      <c r="L60" s="518"/>
      <c r="M60" s="521"/>
      <c r="N60" s="522"/>
      <c r="O60" s="16"/>
    </row>
    <row r="61" spans="1:15" ht="22.25" customHeight="1" x14ac:dyDescent="0.2">
      <c r="A61" s="14"/>
      <c r="B61" s="505"/>
      <c r="C61" s="506"/>
      <c r="D61" s="506"/>
      <c r="E61" s="506"/>
      <c r="F61" s="506"/>
      <c r="G61" s="506"/>
      <c r="H61" s="506"/>
      <c r="I61" s="507"/>
      <c r="J61" s="15"/>
      <c r="K61" s="517"/>
      <c r="L61" s="518"/>
      <c r="M61" s="521"/>
      <c r="N61" s="522"/>
      <c r="O61" s="16"/>
    </row>
    <row r="62" spans="1:15" ht="22.25" customHeight="1" thickBot="1" x14ac:dyDescent="0.25">
      <c r="A62" s="14"/>
      <c r="B62" s="508"/>
      <c r="C62" s="509"/>
      <c r="D62" s="509"/>
      <c r="E62" s="509"/>
      <c r="F62" s="509"/>
      <c r="G62" s="509"/>
      <c r="H62" s="509"/>
      <c r="I62" s="510"/>
      <c r="J62" s="15"/>
      <c r="K62" s="511" t="s">
        <v>10</v>
      </c>
      <c r="L62" s="512"/>
      <c r="M62" s="513"/>
      <c r="N62" s="51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from Word" prompt="To allow some splitting of text copy and paste paragraphs from Word._x000a_Double click to enable pasting." sqref="B58:I62 B48:I53 B38:I43 B30:I34" xr:uid="{00000000-0002-0000-0900-000000000000}"/>
    <dataValidation type="date" operator="greaterThan" allowBlank="1" showInputMessage="1" showErrorMessage="1" promptTitle="Date" prompt="Please enter the date in the format dd mmm yyy" sqref="M34:N34 M42:N43 M52:N53 M62:N62" xr:uid="{00000000-0002-0000-0900-000001000000}">
      <formula1>43607</formula1>
    </dataValidation>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09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868467C2-C848-4B80-B350-198DEECB389F}">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F259060A-83F6-4E04-81A9-5B0CBC647C15}">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D6971DF0-A332-4A10-A071-25552A8D44F0}">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64CBC615-72A7-41AB-807A-B4BDA4DA3D12}">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641566E5-029B-47A2-A503-C921D26BD9A5}">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020333A1-EC15-42B6-8124-D63343C0AEAC}">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1451D311-919D-427B-B25B-D55D50C68ECC}">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191D72CB-647C-4622-B03E-EEF09DC0E8CF}">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AC924A23-BEAF-4EED-9D6F-DFDAFAA32C44}">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A76EE06C-ECD2-4739-B7AE-D85F3E20F3ED}">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268640DB-ADED-4C8E-A979-77673B123F45}">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6F7CD59A-DC78-41F2-B50F-456ADCF4FD9E}">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2A906A3F-C38B-4B34-A2F1-2953BEF4A7C5}">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58AFD95D-77C5-463F-AAE1-6739D9C90D37}">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22A83842-A6A7-4141-BD80-4F01EF45EAE7}">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B0128E3D-F94C-46B8-A4A3-ECA0045A977B}">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4B528966-5BF6-4680-B23C-CC3279878EF6}">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8E017C1E-95C3-4656-83C1-2224FFE54AC5}">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81A580D7-9F22-4CCC-B1C1-DDD512D66634}">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3BA1235C-A542-4E9C-8F1F-A7D1E6D058BE}">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Work Location(s)" prompt="Please select the MAIN work location(s) you have been based at during this period._x000a__x000a_N.B. Warwick University is JLR Research at Warwick" xr:uid="{00000000-0002-0000-0900-000003000000}">
          <x14:formula1>
            <xm:f>'Drop Down Lists'!$G$2:$G$21</xm:f>
          </x14:formula1>
          <xm:sqref>K5:N6</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0900-000004000000}">
          <x14:formula1>
            <xm:f>'Drop Down Lists'!$A$22:$A$26</xm:f>
          </x14:formula1>
          <xm:sqref>N10:N26</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0900-000005000000}">
          <x14:formula1>
            <xm:f>'Drop Down Lists'!$A$2:$A$3</xm:f>
          </x14:formula1>
          <xm:sqref>I44 I54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0900-000006000000}">
          <x14:formula1>
            <xm:f>'Drop Down Lists'!$A$2:$A$3</xm:f>
          </x14:formula1>
          <xm:sqref>E44 E54</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0900-000007000000}">
          <x14:formula1>
            <xm:f>'Drop Down Lists'!$A$2:$A$3</xm:f>
          </x14:formula1>
          <xm:sqref>C44 C54</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0900-000008000000}">
          <x14:formula1>
            <xm:f>'Drop Down Lists'!$A$22:$A$26</xm:f>
          </x14:formula1>
          <xm:sqref>M10:M26</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0900-000009000000}">
          <x14:formula1>
            <xm:f>'Drop Down Lists'!$A$22:$A$26</xm:f>
          </x14:formula1>
          <xm:sqref>L10:L26</xm:sqref>
        </x14:dataValidation>
        <x14:dataValidation type="list" allowBlank="1" showInputMessage="1" showErrorMessage="1" promptTitle="Attendance" prompt="Attendance &amp; Engagement with the programme:_x000a_Excellent (90-100%)_x000a_Satisfactory (80-90%)_x000a_Concerning (&lt;80%)" xr:uid="{00000000-0002-0000-0900-00000A000000}">
          <x14:formula1>
            <xm:f>'Drop Down Lists'!$A$38:$A$40</xm:f>
          </x14:formula1>
          <xm:sqref>G54 G44</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pageSetUpPr fitToPage="1"/>
  </sheetPr>
  <dimension ref="A1:AP168"/>
  <sheetViews>
    <sheetView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Y2 R1</v>
      </c>
      <c r="B1" s="19"/>
      <c r="C1" s="19"/>
      <c r="D1" s="19"/>
      <c r="E1" s="19"/>
      <c r="F1" s="19"/>
      <c r="G1" s="19"/>
      <c r="H1" s="19"/>
      <c r="I1" s="19"/>
      <c r="J1" s="19"/>
      <c r="K1" s="223"/>
      <c r="L1" s="529" t="s">
        <v>256</v>
      </c>
      <c r="M1" s="529"/>
      <c r="N1" s="318">
        <f ca="1">TODAY()</f>
        <v>43969</v>
      </c>
      <c r="O1" s="20"/>
    </row>
    <row r="2" spans="1:42" ht="35" x14ac:dyDescent="0.35">
      <c r="A2" s="14"/>
      <c r="B2" s="465" t="s">
        <v>314</v>
      </c>
      <c r="C2" s="465"/>
      <c r="D2" s="465"/>
      <c r="E2" s="465"/>
      <c r="F2" s="465"/>
      <c r="G2" s="465"/>
      <c r="H2" s="465"/>
      <c r="I2" s="465"/>
      <c r="J2" s="465"/>
      <c r="K2" s="465"/>
      <c r="L2" s="465"/>
      <c r="M2" s="465"/>
      <c r="N2" s="465"/>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36" t="s">
        <v>254</v>
      </c>
      <c r="L4" s="537"/>
      <c r="M4" s="537"/>
      <c r="N4" s="53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19" t="s">
        <v>211</v>
      </c>
      <c r="C5" s="421"/>
      <c r="D5" s="530" t="str">
        <f>'Front Sheet'!C5:C6</f>
        <v>Philip</v>
      </c>
      <c r="E5" s="532" t="str">
        <f>'Front Sheet'!D5:D6</f>
        <v>McGaw</v>
      </c>
      <c r="F5" s="534" t="str">
        <f>'Front Sheet'!G2</f>
        <v>pmcgaw</v>
      </c>
      <c r="G5" s="119">
        <f>'Front Sheet'!J5</f>
        <v>83137730</v>
      </c>
      <c r="H5" s="15"/>
      <c r="I5" s="25"/>
      <c r="J5" s="15"/>
      <c r="K5" s="539"/>
      <c r="L5" s="540"/>
      <c r="M5" s="540"/>
      <c r="N5" s="541"/>
      <c r="O5" s="16"/>
    </row>
    <row r="6" spans="1:42" ht="18" customHeight="1" thickBot="1" x14ac:dyDescent="0.25">
      <c r="A6" s="14"/>
      <c r="B6" s="422"/>
      <c r="C6" s="424"/>
      <c r="D6" s="531"/>
      <c r="E6" s="533"/>
      <c r="F6" s="535"/>
      <c r="G6" s="120">
        <f>'Front Sheet'!J6</f>
        <v>0</v>
      </c>
      <c r="H6" s="15"/>
      <c r="I6" s="25"/>
      <c r="J6" s="15"/>
      <c r="K6" s="542"/>
      <c r="L6" s="543"/>
      <c r="M6" s="543"/>
      <c r="N6" s="544"/>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499" t="s">
        <v>232</v>
      </c>
      <c r="C9" s="527"/>
      <c r="D9" s="527"/>
      <c r="E9" s="527"/>
      <c r="F9" s="527"/>
      <c r="G9" s="527"/>
      <c r="H9" s="527"/>
      <c r="I9" s="528"/>
      <c r="J9" s="15"/>
      <c r="K9" s="26" t="s">
        <v>136</v>
      </c>
      <c r="L9" s="89" t="s">
        <v>126</v>
      </c>
      <c r="M9" s="89" t="s">
        <v>128</v>
      </c>
      <c r="N9" s="96" t="s">
        <v>127</v>
      </c>
      <c r="O9" s="16"/>
      <c r="P9" s="165"/>
      <c r="Q9" s="165"/>
      <c r="R9" s="165"/>
      <c r="S9" s="165"/>
      <c r="T9" s="165"/>
    </row>
    <row r="10" spans="1:42" ht="22.25" customHeight="1" x14ac:dyDescent="0.2">
      <c r="A10" s="14"/>
      <c r="B10" s="502"/>
      <c r="C10" s="503"/>
      <c r="D10" s="503"/>
      <c r="E10" s="503"/>
      <c r="F10" s="503"/>
      <c r="G10" s="503"/>
      <c r="H10" s="503"/>
      <c r="I10" s="504"/>
      <c r="J10" s="15"/>
      <c r="K10" s="27" t="s">
        <v>109</v>
      </c>
      <c r="L10" s="170"/>
      <c r="M10" s="171"/>
      <c r="N10" s="172"/>
      <c r="O10" s="16"/>
    </row>
    <row r="11" spans="1:42" ht="22.25" customHeight="1" x14ac:dyDescent="0.2">
      <c r="A11" s="14"/>
      <c r="B11" s="505"/>
      <c r="C11" s="506"/>
      <c r="D11" s="506"/>
      <c r="E11" s="506"/>
      <c r="F11" s="506"/>
      <c r="G11" s="506"/>
      <c r="H11" s="506"/>
      <c r="I11" s="507"/>
      <c r="J11" s="15"/>
      <c r="K11" s="28" t="s">
        <v>110</v>
      </c>
      <c r="L11" s="173"/>
      <c r="M11" s="173"/>
      <c r="N11" s="174"/>
      <c r="O11" s="16"/>
    </row>
    <row r="12" spans="1:42" ht="22.25" customHeight="1" x14ac:dyDescent="0.2">
      <c r="A12" s="14"/>
      <c r="B12" s="505"/>
      <c r="C12" s="506"/>
      <c r="D12" s="506"/>
      <c r="E12" s="506"/>
      <c r="F12" s="506"/>
      <c r="G12" s="506"/>
      <c r="H12" s="506"/>
      <c r="I12" s="507"/>
      <c r="J12" s="15"/>
      <c r="K12" s="28" t="s">
        <v>111</v>
      </c>
      <c r="L12" s="173"/>
      <c r="M12" s="173"/>
      <c r="N12" s="174"/>
      <c r="O12" s="16"/>
    </row>
    <row r="13" spans="1:42" ht="22.25" customHeight="1" x14ac:dyDescent="0.2">
      <c r="A13" s="14"/>
      <c r="B13" s="505"/>
      <c r="C13" s="506"/>
      <c r="D13" s="506"/>
      <c r="E13" s="506"/>
      <c r="F13" s="506"/>
      <c r="G13" s="506"/>
      <c r="H13" s="506"/>
      <c r="I13" s="507"/>
      <c r="J13" s="15"/>
      <c r="K13" s="28" t="s">
        <v>112</v>
      </c>
      <c r="L13" s="173"/>
      <c r="M13" s="173"/>
      <c r="N13" s="174"/>
      <c r="O13" s="16"/>
    </row>
    <row r="14" spans="1:42" ht="22.25" customHeight="1" x14ac:dyDescent="0.2">
      <c r="A14" s="14"/>
      <c r="B14" s="505"/>
      <c r="C14" s="506"/>
      <c r="D14" s="506"/>
      <c r="E14" s="506"/>
      <c r="F14" s="506"/>
      <c r="G14" s="506"/>
      <c r="H14" s="506"/>
      <c r="I14" s="507"/>
      <c r="J14" s="15"/>
      <c r="K14" s="28" t="s">
        <v>113</v>
      </c>
      <c r="L14" s="173"/>
      <c r="M14" s="173"/>
      <c r="N14" s="174"/>
      <c r="O14" s="16"/>
    </row>
    <row r="15" spans="1:42" ht="22.25" customHeight="1" x14ac:dyDescent="0.2">
      <c r="A15" s="14"/>
      <c r="B15" s="505"/>
      <c r="C15" s="506"/>
      <c r="D15" s="506"/>
      <c r="E15" s="506"/>
      <c r="F15" s="506"/>
      <c r="G15" s="506"/>
      <c r="H15" s="506"/>
      <c r="I15" s="507"/>
      <c r="J15" s="15"/>
      <c r="K15" s="28" t="s">
        <v>114</v>
      </c>
      <c r="L15" s="173"/>
      <c r="M15" s="173"/>
      <c r="N15" s="174"/>
      <c r="O15" s="16"/>
    </row>
    <row r="16" spans="1:42" ht="22.25" customHeight="1" x14ac:dyDescent="0.2">
      <c r="A16" s="14"/>
      <c r="B16" s="505"/>
      <c r="C16" s="506"/>
      <c r="D16" s="506"/>
      <c r="E16" s="506"/>
      <c r="F16" s="506"/>
      <c r="G16" s="506"/>
      <c r="H16" s="506"/>
      <c r="I16" s="507"/>
      <c r="J16" s="15"/>
      <c r="K16" s="28" t="s">
        <v>115</v>
      </c>
      <c r="L16" s="173"/>
      <c r="M16" s="173"/>
      <c r="N16" s="174"/>
      <c r="O16" s="16"/>
    </row>
    <row r="17" spans="1:42" ht="22.25" customHeight="1" x14ac:dyDescent="0.2">
      <c r="A17" s="14"/>
      <c r="B17" s="505"/>
      <c r="C17" s="506"/>
      <c r="D17" s="506"/>
      <c r="E17" s="506"/>
      <c r="F17" s="506"/>
      <c r="G17" s="506"/>
      <c r="H17" s="506"/>
      <c r="I17" s="507"/>
      <c r="J17" s="15"/>
      <c r="K17" s="28" t="s">
        <v>116</v>
      </c>
      <c r="L17" s="173"/>
      <c r="M17" s="173"/>
      <c r="N17" s="174"/>
      <c r="O17" s="16"/>
    </row>
    <row r="18" spans="1:42" ht="22.25" customHeight="1" x14ac:dyDescent="0.2">
      <c r="A18" s="14"/>
      <c r="B18" s="505"/>
      <c r="C18" s="506"/>
      <c r="D18" s="506"/>
      <c r="E18" s="506"/>
      <c r="F18" s="506"/>
      <c r="G18" s="506"/>
      <c r="H18" s="506"/>
      <c r="I18" s="507"/>
      <c r="J18" s="15"/>
      <c r="K18" s="28" t="s">
        <v>117</v>
      </c>
      <c r="L18" s="173"/>
      <c r="M18" s="173"/>
      <c r="N18" s="174"/>
      <c r="O18" s="16"/>
    </row>
    <row r="19" spans="1:42" ht="22.25" customHeight="1" x14ac:dyDescent="0.2">
      <c r="A19" s="14"/>
      <c r="B19" s="505"/>
      <c r="C19" s="506"/>
      <c r="D19" s="506"/>
      <c r="E19" s="506"/>
      <c r="F19" s="506"/>
      <c r="G19" s="506"/>
      <c r="H19" s="506"/>
      <c r="I19" s="507"/>
      <c r="J19" s="15"/>
      <c r="K19" s="28" t="s">
        <v>118</v>
      </c>
      <c r="L19" s="173"/>
      <c r="M19" s="173"/>
      <c r="N19" s="174"/>
      <c r="O19" s="16"/>
    </row>
    <row r="20" spans="1:42" ht="22.25" customHeight="1" x14ac:dyDescent="0.2">
      <c r="A20" s="14"/>
      <c r="B20" s="505"/>
      <c r="C20" s="506"/>
      <c r="D20" s="506"/>
      <c r="E20" s="506"/>
      <c r="F20" s="506"/>
      <c r="G20" s="506"/>
      <c r="H20" s="506"/>
      <c r="I20" s="507"/>
      <c r="J20" s="15"/>
      <c r="K20" s="28" t="s">
        <v>119</v>
      </c>
      <c r="L20" s="173"/>
      <c r="M20" s="173"/>
      <c r="N20" s="174"/>
      <c r="O20" s="16"/>
    </row>
    <row r="21" spans="1:42" ht="22.25" customHeight="1" x14ac:dyDescent="0.2">
      <c r="A21" s="14"/>
      <c r="B21" s="505"/>
      <c r="C21" s="506"/>
      <c r="D21" s="506"/>
      <c r="E21" s="506"/>
      <c r="F21" s="506"/>
      <c r="G21" s="506"/>
      <c r="H21" s="506"/>
      <c r="I21" s="507"/>
      <c r="J21" s="15"/>
      <c r="K21" s="28" t="s">
        <v>120</v>
      </c>
      <c r="L21" s="173"/>
      <c r="M21" s="173"/>
      <c r="N21" s="174"/>
      <c r="O21" s="16"/>
    </row>
    <row r="22" spans="1:42" ht="22.25" customHeight="1" x14ac:dyDescent="0.2">
      <c r="A22" s="14"/>
      <c r="B22" s="505"/>
      <c r="C22" s="506"/>
      <c r="D22" s="506"/>
      <c r="E22" s="506"/>
      <c r="F22" s="506"/>
      <c r="G22" s="506"/>
      <c r="H22" s="506"/>
      <c r="I22" s="507"/>
      <c r="J22" s="15"/>
      <c r="K22" s="28" t="s">
        <v>121</v>
      </c>
      <c r="L22" s="173"/>
      <c r="M22" s="173"/>
      <c r="N22" s="174"/>
      <c r="O22" s="16"/>
    </row>
    <row r="23" spans="1:42" ht="22.25" customHeight="1" x14ac:dyDescent="0.2">
      <c r="A23" s="14"/>
      <c r="B23" s="505"/>
      <c r="C23" s="506"/>
      <c r="D23" s="506"/>
      <c r="E23" s="506"/>
      <c r="F23" s="506"/>
      <c r="G23" s="506"/>
      <c r="H23" s="506"/>
      <c r="I23" s="507"/>
      <c r="J23" s="15"/>
      <c r="K23" s="28" t="s">
        <v>122</v>
      </c>
      <c r="L23" s="173"/>
      <c r="M23" s="173"/>
      <c r="N23" s="174"/>
      <c r="O23" s="16"/>
    </row>
    <row r="24" spans="1:42" ht="22.25" customHeight="1" x14ac:dyDescent="0.2">
      <c r="A24" s="14"/>
      <c r="B24" s="505"/>
      <c r="C24" s="506"/>
      <c r="D24" s="506"/>
      <c r="E24" s="506"/>
      <c r="F24" s="506"/>
      <c r="G24" s="506"/>
      <c r="H24" s="506"/>
      <c r="I24" s="507"/>
      <c r="J24" s="15"/>
      <c r="K24" s="28" t="s">
        <v>123</v>
      </c>
      <c r="L24" s="173"/>
      <c r="M24" s="173"/>
      <c r="N24" s="174"/>
      <c r="O24" s="16"/>
    </row>
    <row r="25" spans="1:42" ht="22.25" customHeight="1" x14ac:dyDescent="0.2">
      <c r="A25" s="14"/>
      <c r="B25" s="505"/>
      <c r="C25" s="506"/>
      <c r="D25" s="506"/>
      <c r="E25" s="506"/>
      <c r="F25" s="506"/>
      <c r="G25" s="506"/>
      <c r="H25" s="506"/>
      <c r="I25" s="507"/>
      <c r="J25" s="15"/>
      <c r="K25" s="28" t="s">
        <v>124</v>
      </c>
      <c r="L25" s="173"/>
      <c r="M25" s="173"/>
      <c r="N25" s="174"/>
      <c r="O25" s="16"/>
    </row>
    <row r="26" spans="1:42" ht="22.25" customHeight="1" thickBot="1" x14ac:dyDescent="0.25">
      <c r="A26" s="14"/>
      <c r="B26" s="508"/>
      <c r="C26" s="509"/>
      <c r="D26" s="509"/>
      <c r="E26" s="509"/>
      <c r="F26" s="509"/>
      <c r="G26" s="509"/>
      <c r="H26" s="509"/>
      <c r="I26" s="510"/>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497" t="s">
        <v>134</v>
      </c>
      <c r="C28" s="498"/>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499" t="s">
        <v>137</v>
      </c>
      <c r="C29" s="500"/>
      <c r="D29" s="500"/>
      <c r="E29" s="500"/>
      <c r="F29" s="500"/>
      <c r="G29" s="500"/>
      <c r="H29" s="500"/>
      <c r="I29" s="501"/>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02"/>
      <c r="C30" s="503"/>
      <c r="D30" s="503"/>
      <c r="E30" s="503"/>
      <c r="F30" s="503"/>
      <c r="G30" s="503"/>
      <c r="H30" s="503"/>
      <c r="I30" s="504"/>
      <c r="J30" s="15"/>
      <c r="K30" s="515" t="s">
        <v>97</v>
      </c>
      <c r="L30" s="516"/>
      <c r="M30" s="519"/>
      <c r="N30" s="520"/>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05"/>
      <c r="C31" s="506"/>
      <c r="D31" s="506"/>
      <c r="E31" s="506"/>
      <c r="F31" s="506"/>
      <c r="G31" s="506"/>
      <c r="H31" s="506"/>
      <c r="I31" s="507"/>
      <c r="J31" s="15"/>
      <c r="K31" s="517"/>
      <c r="L31" s="518"/>
      <c r="M31" s="521"/>
      <c r="N31" s="522"/>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05"/>
      <c r="C32" s="506"/>
      <c r="D32" s="506"/>
      <c r="E32" s="506"/>
      <c r="F32" s="506"/>
      <c r="G32" s="506"/>
      <c r="H32" s="506"/>
      <c r="I32" s="507"/>
      <c r="J32" s="15"/>
      <c r="K32" s="517" t="s">
        <v>98</v>
      </c>
      <c r="L32" s="518"/>
      <c r="M32" s="521"/>
      <c r="N32" s="522"/>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05"/>
      <c r="C33" s="506"/>
      <c r="D33" s="506"/>
      <c r="E33" s="506"/>
      <c r="F33" s="506"/>
      <c r="G33" s="506"/>
      <c r="H33" s="506"/>
      <c r="I33" s="507"/>
      <c r="J33" s="15"/>
      <c r="K33" s="517"/>
      <c r="L33" s="518"/>
      <c r="M33" s="521"/>
      <c r="N33" s="522"/>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08"/>
      <c r="C34" s="509"/>
      <c r="D34" s="509"/>
      <c r="E34" s="509"/>
      <c r="F34" s="509"/>
      <c r="G34" s="509"/>
      <c r="H34" s="509"/>
      <c r="I34" s="510"/>
      <c r="J34" s="15"/>
      <c r="K34" s="511" t="s">
        <v>10</v>
      </c>
      <c r="L34" s="512"/>
      <c r="M34" s="513"/>
      <c r="N34" s="51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497" t="s">
        <v>223</v>
      </c>
      <c r="C36" s="498"/>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499" t="s">
        <v>231</v>
      </c>
      <c r="C37" s="500"/>
      <c r="D37" s="500"/>
      <c r="E37" s="500"/>
      <c r="F37" s="500"/>
      <c r="G37" s="500"/>
      <c r="H37" s="500"/>
      <c r="I37" s="501"/>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02"/>
      <c r="C38" s="503"/>
      <c r="D38" s="503"/>
      <c r="E38" s="503"/>
      <c r="F38" s="503"/>
      <c r="G38" s="503"/>
      <c r="H38" s="503"/>
      <c r="I38" s="504"/>
      <c r="J38" s="15"/>
      <c r="K38" s="515" t="s">
        <v>97</v>
      </c>
      <c r="L38" s="516"/>
      <c r="M38" s="519"/>
      <c r="N38" s="520"/>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05"/>
      <c r="C39" s="506"/>
      <c r="D39" s="506"/>
      <c r="E39" s="506"/>
      <c r="F39" s="506"/>
      <c r="G39" s="506"/>
      <c r="H39" s="506"/>
      <c r="I39" s="507"/>
      <c r="J39" s="15"/>
      <c r="K39" s="517"/>
      <c r="L39" s="518"/>
      <c r="M39" s="521"/>
      <c r="N39" s="522"/>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05"/>
      <c r="C40" s="506"/>
      <c r="D40" s="506"/>
      <c r="E40" s="506"/>
      <c r="F40" s="506"/>
      <c r="G40" s="506"/>
      <c r="H40" s="506"/>
      <c r="I40" s="507"/>
      <c r="J40" s="15"/>
      <c r="K40" s="517" t="s">
        <v>157</v>
      </c>
      <c r="L40" s="518"/>
      <c r="M40" s="521"/>
      <c r="N40" s="522"/>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05"/>
      <c r="C41" s="506"/>
      <c r="D41" s="506"/>
      <c r="E41" s="506"/>
      <c r="F41" s="506"/>
      <c r="G41" s="506"/>
      <c r="H41" s="506"/>
      <c r="I41" s="507"/>
      <c r="J41" s="15"/>
      <c r="K41" s="517"/>
      <c r="L41" s="518"/>
      <c r="M41" s="521"/>
      <c r="N41" s="522"/>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05"/>
      <c r="C42" s="506"/>
      <c r="D42" s="506"/>
      <c r="E42" s="506"/>
      <c r="F42" s="506"/>
      <c r="G42" s="506"/>
      <c r="H42" s="506"/>
      <c r="I42" s="507"/>
      <c r="J42" s="15"/>
      <c r="K42" s="523" t="s">
        <v>10</v>
      </c>
      <c r="L42" s="524"/>
      <c r="M42" s="525"/>
      <c r="N42" s="526"/>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05"/>
      <c r="C43" s="506"/>
      <c r="D43" s="509"/>
      <c r="E43" s="509"/>
      <c r="F43" s="509"/>
      <c r="G43" s="509"/>
      <c r="H43" s="509"/>
      <c r="I43" s="510"/>
      <c r="J43" s="15"/>
      <c r="K43" s="511" t="s">
        <v>260</v>
      </c>
      <c r="L43" s="512"/>
      <c r="M43" s="513"/>
      <c r="N43" s="51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497" t="s">
        <v>223</v>
      </c>
      <c r="C46" s="498"/>
      <c r="D46" s="24"/>
      <c r="E46" s="24"/>
      <c r="F46" s="24"/>
      <c r="G46" s="24"/>
      <c r="H46" s="24"/>
      <c r="I46" s="15"/>
      <c r="J46" s="15"/>
      <c r="K46" s="15"/>
      <c r="L46" s="24"/>
      <c r="M46" s="24"/>
      <c r="N46" s="24"/>
      <c r="O46" s="16"/>
    </row>
    <row r="47" spans="1:42" ht="51" customHeight="1" thickBot="1" x14ac:dyDescent="0.25">
      <c r="A47" s="14"/>
      <c r="B47" s="499" t="s">
        <v>230</v>
      </c>
      <c r="C47" s="500"/>
      <c r="D47" s="500"/>
      <c r="E47" s="500"/>
      <c r="F47" s="500"/>
      <c r="G47" s="500"/>
      <c r="H47" s="500"/>
      <c r="I47" s="501"/>
      <c r="J47" s="15"/>
      <c r="K47" s="15"/>
      <c r="L47" s="24"/>
      <c r="M47" s="24"/>
      <c r="N47" s="24"/>
      <c r="O47" s="16"/>
    </row>
    <row r="48" spans="1:42" ht="22.25" customHeight="1" x14ac:dyDescent="0.2">
      <c r="A48" s="14"/>
      <c r="B48" s="502"/>
      <c r="C48" s="503"/>
      <c r="D48" s="503"/>
      <c r="E48" s="503"/>
      <c r="F48" s="503"/>
      <c r="G48" s="503"/>
      <c r="H48" s="503"/>
      <c r="I48" s="504"/>
      <c r="J48" s="15"/>
      <c r="K48" s="515" t="s">
        <v>97</v>
      </c>
      <c r="L48" s="516"/>
      <c r="M48" s="519"/>
      <c r="N48" s="520"/>
      <c r="O48" s="16"/>
    </row>
    <row r="49" spans="1:15" ht="22.25" customHeight="1" x14ac:dyDescent="0.2">
      <c r="A49" s="14"/>
      <c r="B49" s="505"/>
      <c r="C49" s="506"/>
      <c r="D49" s="506"/>
      <c r="E49" s="506"/>
      <c r="F49" s="506"/>
      <c r="G49" s="506"/>
      <c r="H49" s="506"/>
      <c r="I49" s="507"/>
      <c r="J49" s="15"/>
      <c r="K49" s="517"/>
      <c r="L49" s="518"/>
      <c r="M49" s="521"/>
      <c r="N49" s="522"/>
      <c r="O49" s="16"/>
    </row>
    <row r="50" spans="1:15" ht="22.25" customHeight="1" x14ac:dyDescent="0.2">
      <c r="A50" s="14"/>
      <c r="B50" s="505"/>
      <c r="C50" s="506"/>
      <c r="D50" s="506"/>
      <c r="E50" s="506"/>
      <c r="F50" s="506"/>
      <c r="G50" s="506"/>
      <c r="H50" s="506"/>
      <c r="I50" s="507"/>
      <c r="J50" s="15"/>
      <c r="K50" s="517" t="s">
        <v>157</v>
      </c>
      <c r="L50" s="518"/>
      <c r="M50" s="521"/>
      <c r="N50" s="522"/>
      <c r="O50" s="16"/>
    </row>
    <row r="51" spans="1:15" ht="22.25" customHeight="1" x14ac:dyDescent="0.2">
      <c r="A51" s="14"/>
      <c r="B51" s="505"/>
      <c r="C51" s="506"/>
      <c r="D51" s="506"/>
      <c r="E51" s="506"/>
      <c r="F51" s="506"/>
      <c r="G51" s="506"/>
      <c r="H51" s="506"/>
      <c r="I51" s="507"/>
      <c r="J51" s="15"/>
      <c r="K51" s="517"/>
      <c r="L51" s="518"/>
      <c r="M51" s="521"/>
      <c r="N51" s="522"/>
      <c r="O51" s="16"/>
    </row>
    <row r="52" spans="1:15" ht="22.25" customHeight="1" x14ac:dyDescent="0.2">
      <c r="A52" s="14"/>
      <c r="B52" s="505"/>
      <c r="C52" s="506"/>
      <c r="D52" s="506"/>
      <c r="E52" s="506"/>
      <c r="F52" s="506"/>
      <c r="G52" s="506"/>
      <c r="H52" s="506"/>
      <c r="I52" s="507"/>
      <c r="J52" s="15"/>
      <c r="K52" s="523" t="s">
        <v>10</v>
      </c>
      <c r="L52" s="524"/>
      <c r="M52" s="525"/>
      <c r="N52" s="526"/>
      <c r="O52" s="16"/>
    </row>
    <row r="53" spans="1:15" ht="22.25" customHeight="1" thickBot="1" x14ac:dyDescent="0.25">
      <c r="A53" s="14"/>
      <c r="B53" s="508"/>
      <c r="C53" s="509"/>
      <c r="D53" s="509"/>
      <c r="E53" s="509"/>
      <c r="F53" s="509"/>
      <c r="G53" s="509"/>
      <c r="H53" s="509"/>
      <c r="I53" s="510"/>
      <c r="J53" s="15"/>
      <c r="K53" s="511" t="s">
        <v>259</v>
      </c>
      <c r="L53" s="512"/>
      <c r="M53" s="513"/>
      <c r="N53" s="51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497" t="s">
        <v>135</v>
      </c>
      <c r="C56" s="498"/>
      <c r="D56" s="24"/>
      <c r="E56" s="24"/>
      <c r="F56" s="24"/>
      <c r="G56" s="24"/>
      <c r="H56" s="24"/>
      <c r="I56" s="15"/>
      <c r="J56" s="15"/>
      <c r="K56" s="15"/>
      <c r="L56" s="24"/>
      <c r="M56" s="24"/>
      <c r="N56" s="24"/>
      <c r="O56" s="16"/>
    </row>
    <row r="57" spans="1:15" ht="36" customHeight="1" thickBot="1" x14ac:dyDescent="0.25">
      <c r="A57" s="14"/>
      <c r="B57" s="499" t="s">
        <v>156</v>
      </c>
      <c r="C57" s="500"/>
      <c r="D57" s="500"/>
      <c r="E57" s="500"/>
      <c r="F57" s="500"/>
      <c r="G57" s="500"/>
      <c r="H57" s="500"/>
      <c r="I57" s="501"/>
      <c r="J57" s="15"/>
      <c r="K57" s="15"/>
      <c r="L57" s="24"/>
      <c r="M57" s="24"/>
      <c r="N57" s="24"/>
      <c r="O57" s="16"/>
    </row>
    <row r="58" spans="1:15" ht="22.25" customHeight="1" x14ac:dyDescent="0.2">
      <c r="A58" s="14"/>
      <c r="B58" s="502"/>
      <c r="C58" s="503"/>
      <c r="D58" s="503"/>
      <c r="E58" s="503"/>
      <c r="F58" s="503"/>
      <c r="G58" s="503"/>
      <c r="H58" s="503"/>
      <c r="I58" s="504"/>
      <c r="J58" s="15"/>
      <c r="K58" s="515" t="s">
        <v>97</v>
      </c>
      <c r="L58" s="516"/>
      <c r="M58" s="519"/>
      <c r="N58" s="520"/>
      <c r="O58" s="16"/>
    </row>
    <row r="59" spans="1:15" ht="22.25" customHeight="1" x14ac:dyDescent="0.2">
      <c r="A59" s="14"/>
      <c r="B59" s="505"/>
      <c r="C59" s="506"/>
      <c r="D59" s="506"/>
      <c r="E59" s="506"/>
      <c r="F59" s="506"/>
      <c r="G59" s="506"/>
      <c r="H59" s="506"/>
      <c r="I59" s="507"/>
      <c r="J59" s="15"/>
      <c r="K59" s="517"/>
      <c r="L59" s="518"/>
      <c r="M59" s="521"/>
      <c r="N59" s="522"/>
      <c r="O59" s="16"/>
    </row>
    <row r="60" spans="1:15" ht="22.25" customHeight="1" x14ac:dyDescent="0.2">
      <c r="A60" s="14"/>
      <c r="B60" s="505"/>
      <c r="C60" s="506"/>
      <c r="D60" s="506"/>
      <c r="E60" s="506"/>
      <c r="F60" s="506"/>
      <c r="G60" s="506"/>
      <c r="H60" s="506"/>
      <c r="I60" s="507"/>
      <c r="J60" s="15"/>
      <c r="K60" s="517" t="s">
        <v>158</v>
      </c>
      <c r="L60" s="518"/>
      <c r="M60" s="521"/>
      <c r="N60" s="522"/>
      <c r="O60" s="16"/>
    </row>
    <row r="61" spans="1:15" ht="22.25" customHeight="1" x14ac:dyDescent="0.2">
      <c r="A61" s="14"/>
      <c r="B61" s="505"/>
      <c r="C61" s="506"/>
      <c r="D61" s="506"/>
      <c r="E61" s="506"/>
      <c r="F61" s="506"/>
      <c r="G61" s="506"/>
      <c r="H61" s="506"/>
      <c r="I61" s="507"/>
      <c r="J61" s="15"/>
      <c r="K61" s="517"/>
      <c r="L61" s="518"/>
      <c r="M61" s="521"/>
      <c r="N61" s="522"/>
      <c r="O61" s="16"/>
    </row>
    <row r="62" spans="1:15" ht="22.25" customHeight="1" thickBot="1" x14ac:dyDescent="0.25">
      <c r="A62" s="14"/>
      <c r="B62" s="508"/>
      <c r="C62" s="509"/>
      <c r="D62" s="509"/>
      <c r="E62" s="509"/>
      <c r="F62" s="509"/>
      <c r="G62" s="509"/>
      <c r="H62" s="509"/>
      <c r="I62" s="510"/>
      <c r="J62" s="15"/>
      <c r="K62" s="511" t="s">
        <v>10</v>
      </c>
      <c r="L62" s="512"/>
      <c r="M62" s="513"/>
      <c r="N62" s="51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from Word" prompt="To allow some splitting of text copy and paste paragraphs from Word._x000a_Double click to enable pasting." sqref="B58:I62 B48:I53 B38:I43 B30:I34" xr:uid="{00000000-0002-0000-0A00-000000000000}"/>
    <dataValidation type="date" operator="greaterThan" allowBlank="1" showInputMessage="1" showErrorMessage="1" promptTitle="Date" prompt="Please enter the date in the format dd mmm yyy" sqref="M34:N34 M42:N43 M52:N53 M62:N62" xr:uid="{00000000-0002-0000-0A00-000001000000}">
      <formula1>43607</formula1>
    </dataValidation>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0A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527F2A36-937A-4888-A9DD-A40E5097580E}">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3A40A654-0C98-4EE7-BAA2-E22D78F2C090}">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04744AC9-7234-46DB-996E-3ACD9DC12400}">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C6D567C9-CF52-4D75-B2D6-6B65F357B65D}">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D190BE78-6588-4106-B4CB-43F6B8D987F2}">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CCDA8215-F29B-45BF-8FC5-8CB11BABC769}">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BC7D74B2-C63C-430F-91F4-019184EF2CBB}">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F4391DD1-E5BE-480F-844C-DFDB1F19AE5F}">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28E9A5B8-EEDD-48EA-B3E9-AFE943D3F0F9}">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DF55EAEF-E153-4184-A675-E30E30F3920E}">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BB28AAAF-47D6-4FCB-B6C7-EA9FA80D8D3C}">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88CF306D-224E-4085-A298-3E624952184F}">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49A7EEBF-195C-401D-BDD2-67EDCF9BD1CC}">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93EAA6D2-1F8E-4264-AA90-94AC155DD0C0}">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FED90BE5-0A6C-4EF0-BEE3-A65C5B39BAAC}">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6934DDB2-340C-46CC-B33A-547747DDE9F2}">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93FF46C8-FDBF-4CD8-9D17-510FD161112B}">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E77115E6-2824-46D6-84AF-D746149BF2C3}">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E10FDEEC-1213-4E48-8083-1CFF08DC1520}">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26345008-F996-41F9-850D-8B1503BA8177}">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Work Location(s)" prompt="Please select the MAIN work location(s) you have been based at during this period._x000a__x000a_N.B. Warwick University is JLR Research at Warwick" xr:uid="{00000000-0002-0000-0A00-000003000000}">
          <x14:formula1>
            <xm:f>'Drop Down Lists'!$G$2:$G$21</xm:f>
          </x14:formula1>
          <xm:sqref>K5:N6</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0A00-000004000000}">
          <x14:formula1>
            <xm:f>'Drop Down Lists'!$A$22:$A$26</xm:f>
          </x14:formula1>
          <xm:sqref>N10:N26</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0A00-000005000000}">
          <x14:formula1>
            <xm:f>'Drop Down Lists'!$A$2:$A$3</xm:f>
          </x14:formula1>
          <xm:sqref>I44 I54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0A00-000006000000}">
          <x14:formula1>
            <xm:f>'Drop Down Lists'!$A$2:$A$3</xm:f>
          </x14:formula1>
          <xm:sqref>E44 E54</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0A00-000007000000}">
          <x14:formula1>
            <xm:f>'Drop Down Lists'!$A$2:$A$3</xm:f>
          </x14:formula1>
          <xm:sqref>C44 C54</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0A00-000008000000}">
          <x14:formula1>
            <xm:f>'Drop Down Lists'!$A$22:$A$26</xm:f>
          </x14:formula1>
          <xm:sqref>M10:M26</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0A00-000009000000}">
          <x14:formula1>
            <xm:f>'Drop Down Lists'!$A$22:$A$26</xm:f>
          </x14:formula1>
          <xm:sqref>L10:L26</xm:sqref>
        </x14:dataValidation>
        <x14:dataValidation type="list" allowBlank="1" showInputMessage="1" showErrorMessage="1" promptTitle="Attendance" prompt="Attendance &amp; Engagement with the programme:_x000a_Excellent (90-100%)_x000a_Satisfactory (80-90%)_x000a_Concerning (&lt;80%)" xr:uid="{00000000-0002-0000-0A00-00000A000000}">
          <x14:formula1>
            <xm:f>'Drop Down Lists'!$A$38:$A$40</xm:f>
          </x14:formula1>
          <xm:sqref>G54 G44</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pageSetUpPr fitToPage="1"/>
  </sheetPr>
  <dimension ref="A1:AP168"/>
  <sheetViews>
    <sheetView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Y2 R2</v>
      </c>
      <c r="B1" s="19"/>
      <c r="C1" s="19"/>
      <c r="D1" s="19"/>
      <c r="E1" s="19"/>
      <c r="F1" s="19"/>
      <c r="G1" s="19"/>
      <c r="H1" s="19"/>
      <c r="I1" s="19"/>
      <c r="J1" s="19"/>
      <c r="K1" s="223"/>
      <c r="L1" s="529" t="s">
        <v>256</v>
      </c>
      <c r="M1" s="529"/>
      <c r="N1" s="148">
        <f ca="1">TODAY()</f>
        <v>43969</v>
      </c>
      <c r="O1" s="20"/>
    </row>
    <row r="2" spans="1:42" ht="35" x14ac:dyDescent="0.35">
      <c r="A2" s="14"/>
      <c r="B2" s="465" t="s">
        <v>315</v>
      </c>
      <c r="C2" s="465"/>
      <c r="D2" s="465"/>
      <c r="E2" s="465"/>
      <c r="F2" s="465"/>
      <c r="G2" s="465"/>
      <c r="H2" s="465"/>
      <c r="I2" s="465"/>
      <c r="J2" s="465"/>
      <c r="K2" s="465"/>
      <c r="L2" s="465"/>
      <c r="M2" s="465"/>
      <c r="N2" s="465"/>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36" t="s">
        <v>254</v>
      </c>
      <c r="L4" s="537"/>
      <c r="M4" s="537"/>
      <c r="N4" s="53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19" t="s">
        <v>211</v>
      </c>
      <c r="C5" s="421"/>
      <c r="D5" s="530" t="str">
        <f>'Front Sheet'!C5:C6</f>
        <v>Philip</v>
      </c>
      <c r="E5" s="532" t="str">
        <f>'Front Sheet'!D5:D6</f>
        <v>McGaw</v>
      </c>
      <c r="F5" s="534" t="str">
        <f>'Front Sheet'!G2</f>
        <v>pmcgaw</v>
      </c>
      <c r="G5" s="119">
        <f>'Front Sheet'!J5</f>
        <v>83137730</v>
      </c>
      <c r="H5" s="15"/>
      <c r="I5" s="25"/>
      <c r="J5" s="15"/>
      <c r="K5" s="539"/>
      <c r="L5" s="540"/>
      <c r="M5" s="540"/>
      <c r="N5" s="541"/>
      <c r="O5" s="16"/>
    </row>
    <row r="6" spans="1:42" ht="18" customHeight="1" thickBot="1" x14ac:dyDescent="0.25">
      <c r="A6" s="14"/>
      <c r="B6" s="422"/>
      <c r="C6" s="424"/>
      <c r="D6" s="531"/>
      <c r="E6" s="533"/>
      <c r="F6" s="535"/>
      <c r="G6" s="120">
        <f>'Front Sheet'!J6</f>
        <v>0</v>
      </c>
      <c r="H6" s="15"/>
      <c r="I6" s="25"/>
      <c r="J6" s="15"/>
      <c r="K6" s="542"/>
      <c r="L6" s="543"/>
      <c r="M6" s="543"/>
      <c r="N6" s="544"/>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499" t="s">
        <v>232</v>
      </c>
      <c r="C9" s="527"/>
      <c r="D9" s="527"/>
      <c r="E9" s="527"/>
      <c r="F9" s="527"/>
      <c r="G9" s="527"/>
      <c r="H9" s="527"/>
      <c r="I9" s="528"/>
      <c r="J9" s="15"/>
      <c r="K9" s="26" t="s">
        <v>136</v>
      </c>
      <c r="L9" s="89" t="s">
        <v>126</v>
      </c>
      <c r="M9" s="89" t="s">
        <v>128</v>
      </c>
      <c r="N9" s="96" t="s">
        <v>127</v>
      </c>
      <c r="O9" s="16"/>
      <c r="P9" s="165"/>
      <c r="Q9" s="165"/>
      <c r="R9" s="165"/>
      <c r="S9" s="165"/>
      <c r="T9" s="165"/>
    </row>
    <row r="10" spans="1:42" ht="22.25" customHeight="1" x14ac:dyDescent="0.2">
      <c r="A10" s="14"/>
      <c r="B10" s="502"/>
      <c r="C10" s="503"/>
      <c r="D10" s="503"/>
      <c r="E10" s="503"/>
      <c r="F10" s="503"/>
      <c r="G10" s="503"/>
      <c r="H10" s="503"/>
      <c r="I10" s="504"/>
      <c r="J10" s="15"/>
      <c r="K10" s="27" t="s">
        <v>109</v>
      </c>
      <c r="L10" s="170"/>
      <c r="M10" s="171"/>
      <c r="N10" s="172"/>
      <c r="O10" s="16"/>
    </row>
    <row r="11" spans="1:42" ht="22.25" customHeight="1" x14ac:dyDescent="0.2">
      <c r="A11" s="14"/>
      <c r="B11" s="505"/>
      <c r="C11" s="506"/>
      <c r="D11" s="506"/>
      <c r="E11" s="506"/>
      <c r="F11" s="506"/>
      <c r="G11" s="506"/>
      <c r="H11" s="506"/>
      <c r="I11" s="507"/>
      <c r="J11" s="15"/>
      <c r="K11" s="28" t="s">
        <v>110</v>
      </c>
      <c r="L11" s="173"/>
      <c r="M11" s="173"/>
      <c r="N11" s="174"/>
      <c r="O11" s="16"/>
    </row>
    <row r="12" spans="1:42" ht="22.25" customHeight="1" x14ac:dyDescent="0.2">
      <c r="A12" s="14"/>
      <c r="B12" s="505"/>
      <c r="C12" s="506"/>
      <c r="D12" s="506"/>
      <c r="E12" s="506"/>
      <c r="F12" s="506"/>
      <c r="G12" s="506"/>
      <c r="H12" s="506"/>
      <c r="I12" s="507"/>
      <c r="J12" s="15"/>
      <c r="K12" s="28" t="s">
        <v>111</v>
      </c>
      <c r="L12" s="173"/>
      <c r="M12" s="173"/>
      <c r="N12" s="174"/>
      <c r="O12" s="16"/>
    </row>
    <row r="13" spans="1:42" ht="22.25" customHeight="1" x14ac:dyDescent="0.2">
      <c r="A13" s="14"/>
      <c r="B13" s="505"/>
      <c r="C13" s="506"/>
      <c r="D13" s="506"/>
      <c r="E13" s="506"/>
      <c r="F13" s="506"/>
      <c r="G13" s="506"/>
      <c r="H13" s="506"/>
      <c r="I13" s="507"/>
      <c r="J13" s="15"/>
      <c r="K13" s="28" t="s">
        <v>112</v>
      </c>
      <c r="L13" s="173"/>
      <c r="M13" s="173"/>
      <c r="N13" s="174"/>
      <c r="O13" s="16"/>
    </row>
    <row r="14" spans="1:42" ht="22.25" customHeight="1" x14ac:dyDescent="0.2">
      <c r="A14" s="14"/>
      <c r="B14" s="505"/>
      <c r="C14" s="506"/>
      <c r="D14" s="506"/>
      <c r="E14" s="506"/>
      <c r="F14" s="506"/>
      <c r="G14" s="506"/>
      <c r="H14" s="506"/>
      <c r="I14" s="507"/>
      <c r="J14" s="15"/>
      <c r="K14" s="28" t="s">
        <v>113</v>
      </c>
      <c r="L14" s="173"/>
      <c r="M14" s="173"/>
      <c r="N14" s="174"/>
      <c r="O14" s="16"/>
    </row>
    <row r="15" spans="1:42" ht="22.25" customHeight="1" x14ac:dyDescent="0.2">
      <c r="A15" s="14"/>
      <c r="B15" s="505"/>
      <c r="C15" s="506"/>
      <c r="D15" s="506"/>
      <c r="E15" s="506"/>
      <c r="F15" s="506"/>
      <c r="G15" s="506"/>
      <c r="H15" s="506"/>
      <c r="I15" s="507"/>
      <c r="J15" s="15"/>
      <c r="K15" s="28" t="s">
        <v>114</v>
      </c>
      <c r="L15" s="173"/>
      <c r="M15" s="173"/>
      <c r="N15" s="174"/>
      <c r="O15" s="16"/>
    </row>
    <row r="16" spans="1:42" ht="22.25" customHeight="1" x14ac:dyDescent="0.2">
      <c r="A16" s="14"/>
      <c r="B16" s="505"/>
      <c r="C16" s="506"/>
      <c r="D16" s="506"/>
      <c r="E16" s="506"/>
      <c r="F16" s="506"/>
      <c r="G16" s="506"/>
      <c r="H16" s="506"/>
      <c r="I16" s="507"/>
      <c r="J16" s="15"/>
      <c r="K16" s="28" t="s">
        <v>115</v>
      </c>
      <c r="L16" s="173"/>
      <c r="M16" s="173"/>
      <c r="N16" s="174"/>
      <c r="O16" s="16"/>
    </row>
    <row r="17" spans="1:42" ht="22.25" customHeight="1" x14ac:dyDescent="0.2">
      <c r="A17" s="14"/>
      <c r="B17" s="505"/>
      <c r="C17" s="506"/>
      <c r="D17" s="506"/>
      <c r="E17" s="506"/>
      <c r="F17" s="506"/>
      <c r="G17" s="506"/>
      <c r="H17" s="506"/>
      <c r="I17" s="507"/>
      <c r="J17" s="15"/>
      <c r="K17" s="28" t="s">
        <v>116</v>
      </c>
      <c r="L17" s="173"/>
      <c r="M17" s="173"/>
      <c r="N17" s="174"/>
      <c r="O17" s="16"/>
    </row>
    <row r="18" spans="1:42" ht="22.25" customHeight="1" x14ac:dyDescent="0.2">
      <c r="A18" s="14"/>
      <c r="B18" s="505"/>
      <c r="C18" s="506"/>
      <c r="D18" s="506"/>
      <c r="E18" s="506"/>
      <c r="F18" s="506"/>
      <c r="G18" s="506"/>
      <c r="H18" s="506"/>
      <c r="I18" s="507"/>
      <c r="J18" s="15"/>
      <c r="K18" s="28" t="s">
        <v>117</v>
      </c>
      <c r="L18" s="173"/>
      <c r="M18" s="173"/>
      <c r="N18" s="174"/>
      <c r="O18" s="16"/>
    </row>
    <row r="19" spans="1:42" ht="22.25" customHeight="1" x14ac:dyDescent="0.2">
      <c r="A19" s="14"/>
      <c r="B19" s="505"/>
      <c r="C19" s="506"/>
      <c r="D19" s="506"/>
      <c r="E19" s="506"/>
      <c r="F19" s="506"/>
      <c r="G19" s="506"/>
      <c r="H19" s="506"/>
      <c r="I19" s="507"/>
      <c r="J19" s="15"/>
      <c r="K19" s="28" t="s">
        <v>118</v>
      </c>
      <c r="L19" s="173"/>
      <c r="M19" s="173"/>
      <c r="N19" s="174"/>
      <c r="O19" s="16"/>
    </row>
    <row r="20" spans="1:42" ht="22.25" customHeight="1" x14ac:dyDescent="0.2">
      <c r="A20" s="14"/>
      <c r="B20" s="505"/>
      <c r="C20" s="506"/>
      <c r="D20" s="506"/>
      <c r="E20" s="506"/>
      <c r="F20" s="506"/>
      <c r="G20" s="506"/>
      <c r="H20" s="506"/>
      <c r="I20" s="507"/>
      <c r="J20" s="15"/>
      <c r="K20" s="28" t="s">
        <v>119</v>
      </c>
      <c r="L20" s="173"/>
      <c r="M20" s="173"/>
      <c r="N20" s="174"/>
      <c r="O20" s="16"/>
    </row>
    <row r="21" spans="1:42" ht="22.25" customHeight="1" x14ac:dyDescent="0.2">
      <c r="A21" s="14"/>
      <c r="B21" s="505"/>
      <c r="C21" s="506"/>
      <c r="D21" s="506"/>
      <c r="E21" s="506"/>
      <c r="F21" s="506"/>
      <c r="G21" s="506"/>
      <c r="H21" s="506"/>
      <c r="I21" s="507"/>
      <c r="J21" s="15"/>
      <c r="K21" s="28" t="s">
        <v>120</v>
      </c>
      <c r="L21" s="173"/>
      <c r="M21" s="173"/>
      <c r="N21" s="174"/>
      <c r="O21" s="16"/>
    </row>
    <row r="22" spans="1:42" ht="22.25" customHeight="1" x14ac:dyDescent="0.2">
      <c r="A22" s="14"/>
      <c r="B22" s="505"/>
      <c r="C22" s="506"/>
      <c r="D22" s="506"/>
      <c r="E22" s="506"/>
      <c r="F22" s="506"/>
      <c r="G22" s="506"/>
      <c r="H22" s="506"/>
      <c r="I22" s="507"/>
      <c r="J22" s="15"/>
      <c r="K22" s="28" t="s">
        <v>121</v>
      </c>
      <c r="L22" s="173"/>
      <c r="M22" s="173"/>
      <c r="N22" s="174"/>
      <c r="O22" s="16"/>
    </row>
    <row r="23" spans="1:42" ht="22.25" customHeight="1" x14ac:dyDescent="0.2">
      <c r="A23" s="14"/>
      <c r="B23" s="505"/>
      <c r="C23" s="506"/>
      <c r="D23" s="506"/>
      <c r="E23" s="506"/>
      <c r="F23" s="506"/>
      <c r="G23" s="506"/>
      <c r="H23" s="506"/>
      <c r="I23" s="507"/>
      <c r="J23" s="15"/>
      <c r="K23" s="28" t="s">
        <v>122</v>
      </c>
      <c r="L23" s="173"/>
      <c r="M23" s="173"/>
      <c r="N23" s="174"/>
      <c r="O23" s="16"/>
    </row>
    <row r="24" spans="1:42" ht="22.25" customHeight="1" x14ac:dyDescent="0.2">
      <c r="A24" s="14"/>
      <c r="B24" s="505"/>
      <c r="C24" s="506"/>
      <c r="D24" s="506"/>
      <c r="E24" s="506"/>
      <c r="F24" s="506"/>
      <c r="G24" s="506"/>
      <c r="H24" s="506"/>
      <c r="I24" s="507"/>
      <c r="J24" s="15"/>
      <c r="K24" s="28" t="s">
        <v>123</v>
      </c>
      <c r="L24" s="173"/>
      <c r="M24" s="173"/>
      <c r="N24" s="174"/>
      <c r="O24" s="16"/>
    </row>
    <row r="25" spans="1:42" ht="22.25" customHeight="1" x14ac:dyDescent="0.2">
      <c r="A25" s="14"/>
      <c r="B25" s="505"/>
      <c r="C25" s="506"/>
      <c r="D25" s="506"/>
      <c r="E25" s="506"/>
      <c r="F25" s="506"/>
      <c r="G25" s="506"/>
      <c r="H25" s="506"/>
      <c r="I25" s="507"/>
      <c r="J25" s="15"/>
      <c r="K25" s="28" t="s">
        <v>124</v>
      </c>
      <c r="L25" s="173"/>
      <c r="M25" s="173"/>
      <c r="N25" s="174"/>
      <c r="O25" s="16"/>
    </row>
    <row r="26" spans="1:42" ht="22.25" customHeight="1" thickBot="1" x14ac:dyDescent="0.25">
      <c r="A26" s="14"/>
      <c r="B26" s="508"/>
      <c r="C26" s="509"/>
      <c r="D26" s="509"/>
      <c r="E26" s="509"/>
      <c r="F26" s="509"/>
      <c r="G26" s="509"/>
      <c r="H26" s="509"/>
      <c r="I26" s="510"/>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497" t="s">
        <v>134</v>
      </c>
      <c r="C28" s="498"/>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499" t="s">
        <v>137</v>
      </c>
      <c r="C29" s="500"/>
      <c r="D29" s="500"/>
      <c r="E29" s="500"/>
      <c r="F29" s="500"/>
      <c r="G29" s="500"/>
      <c r="H29" s="500"/>
      <c r="I29" s="501"/>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02"/>
      <c r="C30" s="503"/>
      <c r="D30" s="503"/>
      <c r="E30" s="503"/>
      <c r="F30" s="503"/>
      <c r="G30" s="503"/>
      <c r="H30" s="503"/>
      <c r="I30" s="504"/>
      <c r="J30" s="15"/>
      <c r="K30" s="515" t="s">
        <v>97</v>
      </c>
      <c r="L30" s="516"/>
      <c r="M30" s="519"/>
      <c r="N30" s="520"/>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05"/>
      <c r="C31" s="506"/>
      <c r="D31" s="506"/>
      <c r="E31" s="506"/>
      <c r="F31" s="506"/>
      <c r="G31" s="506"/>
      <c r="H31" s="506"/>
      <c r="I31" s="507"/>
      <c r="J31" s="15"/>
      <c r="K31" s="517"/>
      <c r="L31" s="518"/>
      <c r="M31" s="521"/>
      <c r="N31" s="522"/>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05"/>
      <c r="C32" s="506"/>
      <c r="D32" s="506"/>
      <c r="E32" s="506"/>
      <c r="F32" s="506"/>
      <c r="G32" s="506"/>
      <c r="H32" s="506"/>
      <c r="I32" s="507"/>
      <c r="J32" s="15"/>
      <c r="K32" s="517" t="s">
        <v>98</v>
      </c>
      <c r="L32" s="518"/>
      <c r="M32" s="521"/>
      <c r="N32" s="522"/>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05"/>
      <c r="C33" s="506"/>
      <c r="D33" s="506"/>
      <c r="E33" s="506"/>
      <c r="F33" s="506"/>
      <c r="G33" s="506"/>
      <c r="H33" s="506"/>
      <c r="I33" s="507"/>
      <c r="J33" s="15"/>
      <c r="K33" s="517"/>
      <c r="L33" s="518"/>
      <c r="M33" s="521"/>
      <c r="N33" s="522"/>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08"/>
      <c r="C34" s="509"/>
      <c r="D34" s="509"/>
      <c r="E34" s="509"/>
      <c r="F34" s="509"/>
      <c r="G34" s="509"/>
      <c r="H34" s="509"/>
      <c r="I34" s="510"/>
      <c r="J34" s="15"/>
      <c r="K34" s="511" t="s">
        <v>10</v>
      </c>
      <c r="L34" s="512"/>
      <c r="M34" s="513"/>
      <c r="N34" s="51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497" t="s">
        <v>223</v>
      </c>
      <c r="C36" s="498"/>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499" t="s">
        <v>231</v>
      </c>
      <c r="C37" s="500"/>
      <c r="D37" s="500"/>
      <c r="E37" s="500"/>
      <c r="F37" s="500"/>
      <c r="G37" s="500"/>
      <c r="H37" s="500"/>
      <c r="I37" s="501"/>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02"/>
      <c r="C38" s="503"/>
      <c r="D38" s="503"/>
      <c r="E38" s="503"/>
      <c r="F38" s="503"/>
      <c r="G38" s="503"/>
      <c r="H38" s="503"/>
      <c r="I38" s="504"/>
      <c r="J38" s="15"/>
      <c r="K38" s="515" t="s">
        <v>97</v>
      </c>
      <c r="L38" s="516"/>
      <c r="M38" s="519"/>
      <c r="N38" s="520"/>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05"/>
      <c r="C39" s="506"/>
      <c r="D39" s="506"/>
      <c r="E39" s="506"/>
      <c r="F39" s="506"/>
      <c r="G39" s="506"/>
      <c r="H39" s="506"/>
      <c r="I39" s="507"/>
      <c r="J39" s="15"/>
      <c r="K39" s="517"/>
      <c r="L39" s="518"/>
      <c r="M39" s="521"/>
      <c r="N39" s="522"/>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05"/>
      <c r="C40" s="506"/>
      <c r="D40" s="506"/>
      <c r="E40" s="506"/>
      <c r="F40" s="506"/>
      <c r="G40" s="506"/>
      <c r="H40" s="506"/>
      <c r="I40" s="507"/>
      <c r="J40" s="15"/>
      <c r="K40" s="517" t="s">
        <v>157</v>
      </c>
      <c r="L40" s="518"/>
      <c r="M40" s="521"/>
      <c r="N40" s="522"/>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05"/>
      <c r="C41" s="506"/>
      <c r="D41" s="506"/>
      <c r="E41" s="506"/>
      <c r="F41" s="506"/>
      <c r="G41" s="506"/>
      <c r="H41" s="506"/>
      <c r="I41" s="507"/>
      <c r="J41" s="15"/>
      <c r="K41" s="517"/>
      <c r="L41" s="518"/>
      <c r="M41" s="521"/>
      <c r="N41" s="522"/>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05"/>
      <c r="C42" s="506"/>
      <c r="D42" s="506"/>
      <c r="E42" s="506"/>
      <c r="F42" s="506"/>
      <c r="G42" s="506"/>
      <c r="H42" s="506"/>
      <c r="I42" s="507"/>
      <c r="J42" s="15"/>
      <c r="K42" s="523" t="s">
        <v>10</v>
      </c>
      <c r="L42" s="524"/>
      <c r="M42" s="525"/>
      <c r="N42" s="526"/>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05"/>
      <c r="C43" s="506"/>
      <c r="D43" s="509"/>
      <c r="E43" s="509"/>
      <c r="F43" s="509"/>
      <c r="G43" s="509"/>
      <c r="H43" s="509"/>
      <c r="I43" s="510"/>
      <c r="J43" s="15"/>
      <c r="K43" s="511" t="s">
        <v>260</v>
      </c>
      <c r="L43" s="512"/>
      <c r="M43" s="513"/>
      <c r="N43" s="51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497" t="s">
        <v>223</v>
      </c>
      <c r="C46" s="498"/>
      <c r="D46" s="24"/>
      <c r="E46" s="24"/>
      <c r="F46" s="24"/>
      <c r="G46" s="24"/>
      <c r="H46" s="24"/>
      <c r="I46" s="15"/>
      <c r="J46" s="15"/>
      <c r="K46" s="15"/>
      <c r="L46" s="24"/>
      <c r="M46" s="24"/>
      <c r="N46" s="24"/>
      <c r="O46" s="16"/>
    </row>
    <row r="47" spans="1:42" ht="51" customHeight="1" thickBot="1" x14ac:dyDescent="0.25">
      <c r="A47" s="14"/>
      <c r="B47" s="499" t="s">
        <v>230</v>
      </c>
      <c r="C47" s="500"/>
      <c r="D47" s="500"/>
      <c r="E47" s="500"/>
      <c r="F47" s="500"/>
      <c r="G47" s="500"/>
      <c r="H47" s="500"/>
      <c r="I47" s="501"/>
      <c r="J47" s="15"/>
      <c r="K47" s="15"/>
      <c r="L47" s="24"/>
      <c r="M47" s="24"/>
      <c r="N47" s="24"/>
      <c r="O47" s="16"/>
    </row>
    <row r="48" spans="1:42" ht="22.25" customHeight="1" x14ac:dyDescent="0.2">
      <c r="A48" s="14"/>
      <c r="B48" s="502"/>
      <c r="C48" s="503"/>
      <c r="D48" s="503"/>
      <c r="E48" s="503"/>
      <c r="F48" s="503"/>
      <c r="G48" s="503"/>
      <c r="H48" s="503"/>
      <c r="I48" s="504"/>
      <c r="J48" s="15"/>
      <c r="K48" s="515" t="s">
        <v>97</v>
      </c>
      <c r="L48" s="516"/>
      <c r="M48" s="519"/>
      <c r="N48" s="520"/>
      <c r="O48" s="16"/>
    </row>
    <row r="49" spans="1:15" ht="22.25" customHeight="1" x14ac:dyDescent="0.2">
      <c r="A49" s="14"/>
      <c r="B49" s="505"/>
      <c r="C49" s="506"/>
      <c r="D49" s="506"/>
      <c r="E49" s="506"/>
      <c r="F49" s="506"/>
      <c r="G49" s="506"/>
      <c r="H49" s="506"/>
      <c r="I49" s="507"/>
      <c r="J49" s="15"/>
      <c r="K49" s="517"/>
      <c r="L49" s="518"/>
      <c r="M49" s="521"/>
      <c r="N49" s="522"/>
      <c r="O49" s="16"/>
    </row>
    <row r="50" spans="1:15" ht="22.25" customHeight="1" x14ac:dyDescent="0.2">
      <c r="A50" s="14"/>
      <c r="B50" s="505"/>
      <c r="C50" s="506"/>
      <c r="D50" s="506"/>
      <c r="E50" s="506"/>
      <c r="F50" s="506"/>
      <c r="G50" s="506"/>
      <c r="H50" s="506"/>
      <c r="I50" s="507"/>
      <c r="J50" s="15"/>
      <c r="K50" s="517" t="s">
        <v>157</v>
      </c>
      <c r="L50" s="518"/>
      <c r="M50" s="521"/>
      <c r="N50" s="522"/>
      <c r="O50" s="16"/>
    </row>
    <row r="51" spans="1:15" ht="22.25" customHeight="1" x14ac:dyDescent="0.2">
      <c r="A51" s="14"/>
      <c r="B51" s="505"/>
      <c r="C51" s="506"/>
      <c r="D51" s="506"/>
      <c r="E51" s="506"/>
      <c r="F51" s="506"/>
      <c r="G51" s="506"/>
      <c r="H51" s="506"/>
      <c r="I51" s="507"/>
      <c r="J51" s="15"/>
      <c r="K51" s="517"/>
      <c r="L51" s="518"/>
      <c r="M51" s="521"/>
      <c r="N51" s="522"/>
      <c r="O51" s="16"/>
    </row>
    <row r="52" spans="1:15" ht="22.25" customHeight="1" x14ac:dyDescent="0.2">
      <c r="A52" s="14"/>
      <c r="B52" s="505"/>
      <c r="C52" s="506"/>
      <c r="D52" s="506"/>
      <c r="E52" s="506"/>
      <c r="F52" s="506"/>
      <c r="G52" s="506"/>
      <c r="H52" s="506"/>
      <c r="I52" s="507"/>
      <c r="J52" s="15"/>
      <c r="K52" s="523" t="s">
        <v>10</v>
      </c>
      <c r="L52" s="524"/>
      <c r="M52" s="525"/>
      <c r="N52" s="526"/>
      <c r="O52" s="16"/>
    </row>
    <row r="53" spans="1:15" ht="22.25" customHeight="1" thickBot="1" x14ac:dyDescent="0.25">
      <c r="A53" s="14"/>
      <c r="B53" s="508"/>
      <c r="C53" s="509"/>
      <c r="D53" s="509"/>
      <c r="E53" s="509"/>
      <c r="F53" s="509"/>
      <c r="G53" s="509"/>
      <c r="H53" s="509"/>
      <c r="I53" s="510"/>
      <c r="J53" s="15"/>
      <c r="K53" s="511" t="s">
        <v>259</v>
      </c>
      <c r="L53" s="512"/>
      <c r="M53" s="513"/>
      <c r="N53" s="51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497" t="s">
        <v>135</v>
      </c>
      <c r="C56" s="498"/>
      <c r="D56" s="24"/>
      <c r="E56" s="24"/>
      <c r="F56" s="24"/>
      <c r="G56" s="24"/>
      <c r="H56" s="24"/>
      <c r="I56" s="15"/>
      <c r="J56" s="15"/>
      <c r="K56" s="15"/>
      <c r="L56" s="24"/>
      <c r="M56" s="24"/>
      <c r="N56" s="24"/>
      <c r="O56" s="16"/>
    </row>
    <row r="57" spans="1:15" ht="36" customHeight="1" thickBot="1" x14ac:dyDescent="0.25">
      <c r="A57" s="14"/>
      <c r="B57" s="499" t="s">
        <v>156</v>
      </c>
      <c r="C57" s="500"/>
      <c r="D57" s="500"/>
      <c r="E57" s="500"/>
      <c r="F57" s="500"/>
      <c r="G57" s="500"/>
      <c r="H57" s="500"/>
      <c r="I57" s="501"/>
      <c r="J57" s="15"/>
      <c r="K57" s="15"/>
      <c r="L57" s="24"/>
      <c r="M57" s="24"/>
      <c r="N57" s="24"/>
      <c r="O57" s="16"/>
    </row>
    <row r="58" spans="1:15" ht="22.25" customHeight="1" x14ac:dyDescent="0.2">
      <c r="A58" s="14"/>
      <c r="B58" s="502"/>
      <c r="C58" s="503"/>
      <c r="D58" s="503"/>
      <c r="E58" s="503"/>
      <c r="F58" s="503"/>
      <c r="G58" s="503"/>
      <c r="H58" s="503"/>
      <c r="I58" s="504"/>
      <c r="J58" s="15"/>
      <c r="K58" s="515" t="s">
        <v>97</v>
      </c>
      <c r="L58" s="516"/>
      <c r="M58" s="519"/>
      <c r="N58" s="520"/>
      <c r="O58" s="16"/>
    </row>
    <row r="59" spans="1:15" ht="22.25" customHeight="1" x14ac:dyDescent="0.2">
      <c r="A59" s="14"/>
      <c r="B59" s="505"/>
      <c r="C59" s="506"/>
      <c r="D59" s="506"/>
      <c r="E59" s="506"/>
      <c r="F59" s="506"/>
      <c r="G59" s="506"/>
      <c r="H59" s="506"/>
      <c r="I59" s="507"/>
      <c r="J59" s="15"/>
      <c r="K59" s="517"/>
      <c r="L59" s="518"/>
      <c r="M59" s="521"/>
      <c r="N59" s="522"/>
      <c r="O59" s="16"/>
    </row>
    <row r="60" spans="1:15" ht="22.25" customHeight="1" x14ac:dyDescent="0.2">
      <c r="A60" s="14"/>
      <c r="B60" s="505"/>
      <c r="C60" s="506"/>
      <c r="D60" s="506"/>
      <c r="E60" s="506"/>
      <c r="F60" s="506"/>
      <c r="G60" s="506"/>
      <c r="H60" s="506"/>
      <c r="I60" s="507"/>
      <c r="J60" s="15"/>
      <c r="K60" s="517" t="s">
        <v>158</v>
      </c>
      <c r="L60" s="518"/>
      <c r="M60" s="521"/>
      <c r="N60" s="522"/>
      <c r="O60" s="16"/>
    </row>
    <row r="61" spans="1:15" ht="22.25" customHeight="1" x14ac:dyDescent="0.2">
      <c r="A61" s="14"/>
      <c r="B61" s="505"/>
      <c r="C61" s="506"/>
      <c r="D61" s="506"/>
      <c r="E61" s="506"/>
      <c r="F61" s="506"/>
      <c r="G61" s="506"/>
      <c r="H61" s="506"/>
      <c r="I61" s="507"/>
      <c r="J61" s="15"/>
      <c r="K61" s="517"/>
      <c r="L61" s="518"/>
      <c r="M61" s="521"/>
      <c r="N61" s="522"/>
      <c r="O61" s="16"/>
    </row>
    <row r="62" spans="1:15" ht="22.25" customHeight="1" thickBot="1" x14ac:dyDescent="0.25">
      <c r="A62" s="14"/>
      <c r="B62" s="508"/>
      <c r="C62" s="509"/>
      <c r="D62" s="509"/>
      <c r="E62" s="509"/>
      <c r="F62" s="509"/>
      <c r="G62" s="509"/>
      <c r="H62" s="509"/>
      <c r="I62" s="510"/>
      <c r="J62" s="15"/>
      <c r="K62" s="511" t="s">
        <v>10</v>
      </c>
      <c r="L62" s="512"/>
      <c r="M62" s="513"/>
      <c r="N62" s="51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0B00-000000000000}"/>
    <dataValidation type="date" operator="greaterThan" allowBlank="1" showInputMessage="1" showErrorMessage="1" promptTitle="Date" prompt="Please enter the date in the format dd mmm yyy" sqref="M34:N34 M42:N43 M52:N53 M62:N62" xr:uid="{00000000-0002-0000-0B00-000001000000}">
      <formula1>43607</formula1>
    </dataValidation>
    <dataValidation allowBlank="1" showInputMessage="1" showErrorMessage="1" promptTitle="Copy &amp; Paste from Word" prompt="To allow some splitting of text copy and paste paragraphs from Word._x000a_Double click to enable pasting." sqref="B58:I62 B48:I53 B38:I43 B30:I34" xr:uid="{00000000-0002-0000-0B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5ABCAEDA-5B19-4C8E-83FA-2AB93E1B4209}">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B6917752-1D8B-4431-9F44-8D5FD3823BF0}">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D7ABC10E-A3CB-4CB1-87F3-5DBC41786491}">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0CC49671-0C7C-4280-8A4C-FF35890F306D}">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CCD11858-970D-4F5D-BB41-E3B0FEB3A9EE}">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492E8EDA-1C51-4676-8F5F-E54BC904883A}">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5031E9DD-5220-40FB-87F9-C04E80681BCD}">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6E1CCA87-7206-4A43-9318-07AF84300040}">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98793111-915F-4595-A338-40D5FB03D5F6}">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D0C5AC64-4151-45C6-971D-B700BE3E0B2B}">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0649D854-2505-4FDA-A327-45E0B9B90DEC}">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27A87B6E-EFAF-40BA-A261-2A2AC5BD7333}">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FF76A2CE-34EF-4C91-9B2E-4BDF3AA9AB0C}">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A188E399-3FA7-415B-8F32-BAD9D15A76FA}">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C7AEFB62-BC5B-4C2D-BA1A-DDB014F1D592}">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230DBD20-E66C-4F96-B177-8234E92E765B}">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26F54638-6076-4F91-AF52-31EE46F24CA4}">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2E4FDBB6-1641-4E1B-ACB5-EE4886D21033}">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802F8117-4BAA-4485-B4D2-9CE17EF1C836}">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CE9E2C7B-F12A-4CF8-A4B3-C34EA8AFF32C}">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Attendance" prompt="Attendance &amp; Engagement with the programme:_x000a_Excellent (90-100%)_x000a_Satisfactory (80-90%)_x000a_Concerning (&lt;80%)" xr:uid="{00000000-0002-0000-0B00-000003000000}">
          <x14:formula1>
            <xm:f>'Drop Down Lists'!$A$38:$A$40</xm:f>
          </x14:formula1>
          <xm:sqref>G54 G44</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0B00-000004000000}">
          <x14:formula1>
            <xm:f>'Drop Down Lists'!$A$22:$A$26</xm:f>
          </x14:formula1>
          <xm:sqref>L10:L26</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0B00-000005000000}">
          <x14:formula1>
            <xm:f>'Drop Down Lists'!$A$22:$A$26</xm:f>
          </x14:formula1>
          <xm:sqref>M10:M26</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0B00-000006000000}">
          <x14:formula1>
            <xm:f>'Drop Down Lists'!$A$2:$A$3</xm:f>
          </x14:formula1>
          <xm:sqref>C44 C54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0B00-000007000000}">
          <x14:formula1>
            <xm:f>'Drop Down Lists'!$A$2:$A$3</xm:f>
          </x14:formula1>
          <xm:sqref>E44 E54</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0B00-000008000000}">
          <x14:formula1>
            <xm:f>'Drop Down Lists'!$A$2:$A$3</xm:f>
          </x14:formula1>
          <xm:sqref>I44 I54</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0B00-000009000000}">
          <x14:formula1>
            <xm:f>'Drop Down Lists'!$A$22:$A$26</xm:f>
          </x14:formula1>
          <xm:sqref>N10:N26</xm:sqref>
        </x14:dataValidation>
        <x14:dataValidation type="list" allowBlank="1" showInputMessage="1" showErrorMessage="1" promptTitle="Work Location(s)" prompt="Please select the MAIN work location(s) you have been based at during this period._x000a__x000a_N.B. Warwick University is JLR Research at Warwick" xr:uid="{00000000-0002-0000-0B00-00000A000000}">
          <x14:formula1>
            <xm:f>'Drop Down Lists'!$G$2:$G$21</xm:f>
          </x14:formula1>
          <xm:sqref>K5:N6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pageSetUpPr fitToPage="1"/>
  </sheetPr>
  <dimension ref="A1:AP168"/>
  <sheetViews>
    <sheetView topLeftCell="A4"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Y2 R3</v>
      </c>
      <c r="B1" s="19"/>
      <c r="C1" s="19"/>
      <c r="D1" s="19"/>
      <c r="E1" s="19"/>
      <c r="F1" s="19"/>
      <c r="G1" s="19"/>
      <c r="H1" s="19"/>
      <c r="I1" s="19"/>
      <c r="J1" s="19"/>
      <c r="K1" s="223"/>
      <c r="L1" s="529" t="s">
        <v>256</v>
      </c>
      <c r="M1" s="529"/>
      <c r="N1" s="318">
        <f ca="1">TODAY()</f>
        <v>43969</v>
      </c>
      <c r="O1" s="20"/>
    </row>
    <row r="2" spans="1:42" ht="35" x14ac:dyDescent="0.35">
      <c r="A2" s="14"/>
      <c r="B2" s="465" t="s">
        <v>316</v>
      </c>
      <c r="C2" s="465"/>
      <c r="D2" s="465"/>
      <c r="E2" s="465"/>
      <c r="F2" s="465"/>
      <c r="G2" s="465"/>
      <c r="H2" s="465"/>
      <c r="I2" s="465"/>
      <c r="J2" s="465"/>
      <c r="K2" s="465"/>
      <c r="L2" s="465"/>
      <c r="M2" s="465"/>
      <c r="N2" s="465"/>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36" t="s">
        <v>254</v>
      </c>
      <c r="L4" s="537"/>
      <c r="M4" s="537"/>
      <c r="N4" s="53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19" t="s">
        <v>211</v>
      </c>
      <c r="C5" s="421"/>
      <c r="D5" s="530" t="str">
        <f>'Front Sheet'!C5:C6</f>
        <v>Philip</v>
      </c>
      <c r="E5" s="532" t="str">
        <f>'Front Sheet'!D5:D6</f>
        <v>McGaw</v>
      </c>
      <c r="F5" s="534" t="str">
        <f>'Front Sheet'!G2</f>
        <v>pmcgaw</v>
      </c>
      <c r="G5" s="119">
        <f>'Front Sheet'!J5</f>
        <v>83137730</v>
      </c>
      <c r="H5" s="15"/>
      <c r="I5" s="25"/>
      <c r="J5" s="15"/>
      <c r="K5" s="539"/>
      <c r="L5" s="540"/>
      <c r="M5" s="540"/>
      <c r="N5" s="541"/>
      <c r="O5" s="16"/>
    </row>
    <row r="6" spans="1:42" ht="18" customHeight="1" thickBot="1" x14ac:dyDescent="0.25">
      <c r="A6" s="14"/>
      <c r="B6" s="422"/>
      <c r="C6" s="424"/>
      <c r="D6" s="531"/>
      <c r="E6" s="533"/>
      <c r="F6" s="535"/>
      <c r="G6" s="120">
        <f>'Front Sheet'!J6</f>
        <v>0</v>
      </c>
      <c r="H6" s="15"/>
      <c r="I6" s="25"/>
      <c r="J6" s="15"/>
      <c r="K6" s="542"/>
      <c r="L6" s="543"/>
      <c r="M6" s="543"/>
      <c r="N6" s="544"/>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499" t="s">
        <v>232</v>
      </c>
      <c r="C9" s="527"/>
      <c r="D9" s="527"/>
      <c r="E9" s="527"/>
      <c r="F9" s="527"/>
      <c r="G9" s="527"/>
      <c r="H9" s="527"/>
      <c r="I9" s="528"/>
      <c r="J9" s="15"/>
      <c r="K9" s="26" t="s">
        <v>136</v>
      </c>
      <c r="L9" s="89" t="s">
        <v>126</v>
      </c>
      <c r="M9" s="89" t="s">
        <v>128</v>
      </c>
      <c r="N9" s="96" t="s">
        <v>127</v>
      </c>
      <c r="O9" s="16"/>
      <c r="P9" s="165"/>
      <c r="Q9" s="165"/>
      <c r="R9" s="165"/>
      <c r="S9" s="165"/>
      <c r="T9" s="165"/>
    </row>
    <row r="10" spans="1:42" ht="22.25" customHeight="1" x14ac:dyDescent="0.2">
      <c r="A10" s="14"/>
      <c r="B10" s="502"/>
      <c r="C10" s="503"/>
      <c r="D10" s="503"/>
      <c r="E10" s="503"/>
      <c r="F10" s="503"/>
      <c r="G10" s="503"/>
      <c r="H10" s="503"/>
      <c r="I10" s="504"/>
      <c r="J10" s="15"/>
      <c r="K10" s="27" t="s">
        <v>109</v>
      </c>
      <c r="L10" s="170"/>
      <c r="M10" s="171"/>
      <c r="N10" s="172"/>
      <c r="O10" s="16"/>
    </row>
    <row r="11" spans="1:42" ht="22.25" customHeight="1" x14ac:dyDescent="0.2">
      <c r="A11" s="14"/>
      <c r="B11" s="505"/>
      <c r="C11" s="506"/>
      <c r="D11" s="506"/>
      <c r="E11" s="506"/>
      <c r="F11" s="506"/>
      <c r="G11" s="506"/>
      <c r="H11" s="506"/>
      <c r="I11" s="507"/>
      <c r="J11" s="15"/>
      <c r="K11" s="28" t="s">
        <v>110</v>
      </c>
      <c r="L11" s="173"/>
      <c r="M11" s="173"/>
      <c r="N11" s="174"/>
      <c r="O11" s="16"/>
    </row>
    <row r="12" spans="1:42" ht="22.25" customHeight="1" x14ac:dyDescent="0.2">
      <c r="A12" s="14"/>
      <c r="B12" s="505"/>
      <c r="C12" s="506"/>
      <c r="D12" s="506"/>
      <c r="E12" s="506"/>
      <c r="F12" s="506"/>
      <c r="G12" s="506"/>
      <c r="H12" s="506"/>
      <c r="I12" s="507"/>
      <c r="J12" s="15"/>
      <c r="K12" s="28" t="s">
        <v>111</v>
      </c>
      <c r="L12" s="173"/>
      <c r="M12" s="173"/>
      <c r="N12" s="174"/>
      <c r="O12" s="16"/>
    </row>
    <row r="13" spans="1:42" ht="22.25" customHeight="1" x14ac:dyDescent="0.2">
      <c r="A13" s="14"/>
      <c r="B13" s="505"/>
      <c r="C13" s="506"/>
      <c r="D13" s="506"/>
      <c r="E13" s="506"/>
      <c r="F13" s="506"/>
      <c r="G13" s="506"/>
      <c r="H13" s="506"/>
      <c r="I13" s="507"/>
      <c r="J13" s="15"/>
      <c r="K13" s="28" t="s">
        <v>112</v>
      </c>
      <c r="L13" s="173"/>
      <c r="M13" s="173"/>
      <c r="N13" s="174"/>
      <c r="O13" s="16"/>
    </row>
    <row r="14" spans="1:42" ht="22.25" customHeight="1" x14ac:dyDescent="0.2">
      <c r="A14" s="14"/>
      <c r="B14" s="505"/>
      <c r="C14" s="506"/>
      <c r="D14" s="506"/>
      <c r="E14" s="506"/>
      <c r="F14" s="506"/>
      <c r="G14" s="506"/>
      <c r="H14" s="506"/>
      <c r="I14" s="507"/>
      <c r="J14" s="15"/>
      <c r="K14" s="28" t="s">
        <v>113</v>
      </c>
      <c r="L14" s="173"/>
      <c r="M14" s="173"/>
      <c r="N14" s="174"/>
      <c r="O14" s="16"/>
    </row>
    <row r="15" spans="1:42" ht="22.25" customHeight="1" x14ac:dyDescent="0.2">
      <c r="A15" s="14"/>
      <c r="B15" s="505"/>
      <c r="C15" s="506"/>
      <c r="D15" s="506"/>
      <c r="E15" s="506"/>
      <c r="F15" s="506"/>
      <c r="G15" s="506"/>
      <c r="H15" s="506"/>
      <c r="I15" s="507"/>
      <c r="J15" s="15"/>
      <c r="K15" s="28" t="s">
        <v>114</v>
      </c>
      <c r="L15" s="173"/>
      <c r="M15" s="173"/>
      <c r="N15" s="174"/>
      <c r="O15" s="16"/>
    </row>
    <row r="16" spans="1:42" ht="22.25" customHeight="1" x14ac:dyDescent="0.2">
      <c r="A16" s="14"/>
      <c r="B16" s="505"/>
      <c r="C16" s="506"/>
      <c r="D16" s="506"/>
      <c r="E16" s="506"/>
      <c r="F16" s="506"/>
      <c r="G16" s="506"/>
      <c r="H16" s="506"/>
      <c r="I16" s="507"/>
      <c r="J16" s="15"/>
      <c r="K16" s="28" t="s">
        <v>115</v>
      </c>
      <c r="L16" s="173"/>
      <c r="M16" s="173"/>
      <c r="N16" s="174"/>
      <c r="O16" s="16"/>
    </row>
    <row r="17" spans="1:42" ht="22.25" customHeight="1" x14ac:dyDescent="0.2">
      <c r="A17" s="14"/>
      <c r="B17" s="505"/>
      <c r="C17" s="506"/>
      <c r="D17" s="506"/>
      <c r="E17" s="506"/>
      <c r="F17" s="506"/>
      <c r="G17" s="506"/>
      <c r="H17" s="506"/>
      <c r="I17" s="507"/>
      <c r="J17" s="15"/>
      <c r="K17" s="28" t="s">
        <v>116</v>
      </c>
      <c r="L17" s="173"/>
      <c r="M17" s="173"/>
      <c r="N17" s="174"/>
      <c r="O17" s="16"/>
    </row>
    <row r="18" spans="1:42" ht="22.25" customHeight="1" x14ac:dyDescent="0.2">
      <c r="A18" s="14"/>
      <c r="B18" s="505"/>
      <c r="C18" s="506"/>
      <c r="D18" s="506"/>
      <c r="E18" s="506"/>
      <c r="F18" s="506"/>
      <c r="G18" s="506"/>
      <c r="H18" s="506"/>
      <c r="I18" s="507"/>
      <c r="J18" s="15"/>
      <c r="K18" s="28" t="s">
        <v>117</v>
      </c>
      <c r="L18" s="173"/>
      <c r="M18" s="173"/>
      <c r="N18" s="174"/>
      <c r="O18" s="16"/>
    </row>
    <row r="19" spans="1:42" ht="22.25" customHeight="1" x14ac:dyDescent="0.2">
      <c r="A19" s="14"/>
      <c r="B19" s="505"/>
      <c r="C19" s="506"/>
      <c r="D19" s="506"/>
      <c r="E19" s="506"/>
      <c r="F19" s="506"/>
      <c r="G19" s="506"/>
      <c r="H19" s="506"/>
      <c r="I19" s="507"/>
      <c r="J19" s="15"/>
      <c r="K19" s="28" t="s">
        <v>118</v>
      </c>
      <c r="L19" s="173"/>
      <c r="M19" s="173"/>
      <c r="N19" s="174"/>
      <c r="O19" s="16"/>
    </row>
    <row r="20" spans="1:42" ht="22.25" customHeight="1" x14ac:dyDescent="0.2">
      <c r="A20" s="14"/>
      <c r="B20" s="505"/>
      <c r="C20" s="506"/>
      <c r="D20" s="506"/>
      <c r="E20" s="506"/>
      <c r="F20" s="506"/>
      <c r="G20" s="506"/>
      <c r="H20" s="506"/>
      <c r="I20" s="507"/>
      <c r="J20" s="15"/>
      <c r="K20" s="28" t="s">
        <v>119</v>
      </c>
      <c r="L20" s="173"/>
      <c r="M20" s="173"/>
      <c r="N20" s="174"/>
      <c r="O20" s="16"/>
    </row>
    <row r="21" spans="1:42" ht="22.25" customHeight="1" x14ac:dyDescent="0.2">
      <c r="A21" s="14"/>
      <c r="B21" s="505"/>
      <c r="C21" s="506"/>
      <c r="D21" s="506"/>
      <c r="E21" s="506"/>
      <c r="F21" s="506"/>
      <c r="G21" s="506"/>
      <c r="H21" s="506"/>
      <c r="I21" s="507"/>
      <c r="J21" s="15"/>
      <c r="K21" s="28" t="s">
        <v>120</v>
      </c>
      <c r="L21" s="173"/>
      <c r="M21" s="173"/>
      <c r="N21" s="174"/>
      <c r="O21" s="16"/>
    </row>
    <row r="22" spans="1:42" ht="22.25" customHeight="1" x14ac:dyDescent="0.2">
      <c r="A22" s="14"/>
      <c r="B22" s="505"/>
      <c r="C22" s="506"/>
      <c r="D22" s="506"/>
      <c r="E22" s="506"/>
      <c r="F22" s="506"/>
      <c r="G22" s="506"/>
      <c r="H22" s="506"/>
      <c r="I22" s="507"/>
      <c r="J22" s="15"/>
      <c r="K22" s="28" t="s">
        <v>121</v>
      </c>
      <c r="L22" s="173"/>
      <c r="M22" s="173"/>
      <c r="N22" s="174"/>
      <c r="O22" s="16"/>
    </row>
    <row r="23" spans="1:42" ht="22.25" customHeight="1" x14ac:dyDescent="0.2">
      <c r="A23" s="14"/>
      <c r="B23" s="505"/>
      <c r="C23" s="506"/>
      <c r="D23" s="506"/>
      <c r="E23" s="506"/>
      <c r="F23" s="506"/>
      <c r="G23" s="506"/>
      <c r="H23" s="506"/>
      <c r="I23" s="507"/>
      <c r="J23" s="15"/>
      <c r="K23" s="28" t="s">
        <v>122</v>
      </c>
      <c r="L23" s="173"/>
      <c r="M23" s="173"/>
      <c r="N23" s="174"/>
      <c r="O23" s="16"/>
    </row>
    <row r="24" spans="1:42" ht="22.25" customHeight="1" x14ac:dyDescent="0.2">
      <c r="A24" s="14"/>
      <c r="B24" s="505"/>
      <c r="C24" s="506"/>
      <c r="D24" s="506"/>
      <c r="E24" s="506"/>
      <c r="F24" s="506"/>
      <c r="G24" s="506"/>
      <c r="H24" s="506"/>
      <c r="I24" s="507"/>
      <c r="J24" s="15"/>
      <c r="K24" s="28" t="s">
        <v>123</v>
      </c>
      <c r="L24" s="173"/>
      <c r="M24" s="173"/>
      <c r="N24" s="174"/>
      <c r="O24" s="16"/>
    </row>
    <row r="25" spans="1:42" ht="22.25" customHeight="1" x14ac:dyDescent="0.2">
      <c r="A25" s="14"/>
      <c r="B25" s="505"/>
      <c r="C25" s="506"/>
      <c r="D25" s="506"/>
      <c r="E25" s="506"/>
      <c r="F25" s="506"/>
      <c r="G25" s="506"/>
      <c r="H25" s="506"/>
      <c r="I25" s="507"/>
      <c r="J25" s="15"/>
      <c r="K25" s="28" t="s">
        <v>124</v>
      </c>
      <c r="L25" s="173"/>
      <c r="M25" s="173"/>
      <c r="N25" s="174"/>
      <c r="O25" s="16"/>
    </row>
    <row r="26" spans="1:42" ht="22.25" customHeight="1" thickBot="1" x14ac:dyDescent="0.25">
      <c r="A26" s="14"/>
      <c r="B26" s="508"/>
      <c r="C26" s="509"/>
      <c r="D26" s="509"/>
      <c r="E26" s="509"/>
      <c r="F26" s="509"/>
      <c r="G26" s="509"/>
      <c r="H26" s="509"/>
      <c r="I26" s="510"/>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497" t="s">
        <v>134</v>
      </c>
      <c r="C28" s="498"/>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499" t="s">
        <v>137</v>
      </c>
      <c r="C29" s="500"/>
      <c r="D29" s="500"/>
      <c r="E29" s="500"/>
      <c r="F29" s="500"/>
      <c r="G29" s="500"/>
      <c r="H29" s="500"/>
      <c r="I29" s="501"/>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02"/>
      <c r="C30" s="503"/>
      <c r="D30" s="503"/>
      <c r="E30" s="503"/>
      <c r="F30" s="503"/>
      <c r="G30" s="503"/>
      <c r="H30" s="503"/>
      <c r="I30" s="504"/>
      <c r="J30" s="15"/>
      <c r="K30" s="515" t="s">
        <v>97</v>
      </c>
      <c r="L30" s="516"/>
      <c r="M30" s="519"/>
      <c r="N30" s="520"/>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05"/>
      <c r="C31" s="506"/>
      <c r="D31" s="506"/>
      <c r="E31" s="506"/>
      <c r="F31" s="506"/>
      <c r="G31" s="506"/>
      <c r="H31" s="506"/>
      <c r="I31" s="507"/>
      <c r="J31" s="15"/>
      <c r="K31" s="517"/>
      <c r="L31" s="518"/>
      <c r="M31" s="521"/>
      <c r="N31" s="522"/>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05"/>
      <c r="C32" s="506"/>
      <c r="D32" s="506"/>
      <c r="E32" s="506"/>
      <c r="F32" s="506"/>
      <c r="G32" s="506"/>
      <c r="H32" s="506"/>
      <c r="I32" s="507"/>
      <c r="J32" s="15"/>
      <c r="K32" s="517" t="s">
        <v>98</v>
      </c>
      <c r="L32" s="518"/>
      <c r="M32" s="521"/>
      <c r="N32" s="522"/>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05"/>
      <c r="C33" s="506"/>
      <c r="D33" s="506"/>
      <c r="E33" s="506"/>
      <c r="F33" s="506"/>
      <c r="G33" s="506"/>
      <c r="H33" s="506"/>
      <c r="I33" s="507"/>
      <c r="J33" s="15"/>
      <c r="K33" s="517"/>
      <c r="L33" s="518"/>
      <c r="M33" s="521"/>
      <c r="N33" s="522"/>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08"/>
      <c r="C34" s="509"/>
      <c r="D34" s="509"/>
      <c r="E34" s="509"/>
      <c r="F34" s="509"/>
      <c r="G34" s="509"/>
      <c r="H34" s="509"/>
      <c r="I34" s="510"/>
      <c r="J34" s="15"/>
      <c r="K34" s="511" t="s">
        <v>10</v>
      </c>
      <c r="L34" s="512"/>
      <c r="M34" s="513"/>
      <c r="N34" s="51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497" t="s">
        <v>223</v>
      </c>
      <c r="C36" s="498"/>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499" t="s">
        <v>231</v>
      </c>
      <c r="C37" s="500"/>
      <c r="D37" s="500"/>
      <c r="E37" s="500"/>
      <c r="F37" s="500"/>
      <c r="G37" s="500"/>
      <c r="H37" s="500"/>
      <c r="I37" s="501"/>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02"/>
      <c r="C38" s="503"/>
      <c r="D38" s="503"/>
      <c r="E38" s="503"/>
      <c r="F38" s="503"/>
      <c r="G38" s="503"/>
      <c r="H38" s="503"/>
      <c r="I38" s="504"/>
      <c r="J38" s="15"/>
      <c r="K38" s="515" t="s">
        <v>97</v>
      </c>
      <c r="L38" s="516"/>
      <c r="M38" s="519"/>
      <c r="N38" s="520"/>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05"/>
      <c r="C39" s="506"/>
      <c r="D39" s="506"/>
      <c r="E39" s="506"/>
      <c r="F39" s="506"/>
      <c r="G39" s="506"/>
      <c r="H39" s="506"/>
      <c r="I39" s="507"/>
      <c r="J39" s="15"/>
      <c r="K39" s="517"/>
      <c r="L39" s="518"/>
      <c r="M39" s="521"/>
      <c r="N39" s="522"/>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05"/>
      <c r="C40" s="506"/>
      <c r="D40" s="506"/>
      <c r="E40" s="506"/>
      <c r="F40" s="506"/>
      <c r="G40" s="506"/>
      <c r="H40" s="506"/>
      <c r="I40" s="507"/>
      <c r="J40" s="15"/>
      <c r="K40" s="517" t="s">
        <v>157</v>
      </c>
      <c r="L40" s="518"/>
      <c r="M40" s="521"/>
      <c r="N40" s="522"/>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05"/>
      <c r="C41" s="506"/>
      <c r="D41" s="506"/>
      <c r="E41" s="506"/>
      <c r="F41" s="506"/>
      <c r="G41" s="506"/>
      <c r="H41" s="506"/>
      <c r="I41" s="507"/>
      <c r="J41" s="15"/>
      <c r="K41" s="517"/>
      <c r="L41" s="518"/>
      <c r="M41" s="521"/>
      <c r="N41" s="522"/>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05"/>
      <c r="C42" s="506"/>
      <c r="D42" s="506"/>
      <c r="E42" s="506"/>
      <c r="F42" s="506"/>
      <c r="G42" s="506"/>
      <c r="H42" s="506"/>
      <c r="I42" s="507"/>
      <c r="J42" s="15"/>
      <c r="K42" s="523" t="s">
        <v>10</v>
      </c>
      <c r="L42" s="524"/>
      <c r="M42" s="525"/>
      <c r="N42" s="526"/>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05"/>
      <c r="C43" s="506"/>
      <c r="D43" s="509"/>
      <c r="E43" s="509"/>
      <c r="F43" s="509"/>
      <c r="G43" s="509"/>
      <c r="H43" s="509"/>
      <c r="I43" s="510"/>
      <c r="J43" s="15"/>
      <c r="K43" s="511" t="s">
        <v>260</v>
      </c>
      <c r="L43" s="512"/>
      <c r="M43" s="513"/>
      <c r="N43" s="51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497" t="s">
        <v>223</v>
      </c>
      <c r="C46" s="498"/>
      <c r="D46" s="24"/>
      <c r="E46" s="24"/>
      <c r="F46" s="24"/>
      <c r="G46" s="24"/>
      <c r="H46" s="24"/>
      <c r="I46" s="15"/>
      <c r="J46" s="15"/>
      <c r="K46" s="15"/>
      <c r="L46" s="24"/>
      <c r="M46" s="24"/>
      <c r="N46" s="24"/>
      <c r="O46" s="16"/>
    </row>
    <row r="47" spans="1:42" ht="51" customHeight="1" thickBot="1" x14ac:dyDescent="0.25">
      <c r="A47" s="14"/>
      <c r="B47" s="499" t="s">
        <v>230</v>
      </c>
      <c r="C47" s="500"/>
      <c r="D47" s="500"/>
      <c r="E47" s="500"/>
      <c r="F47" s="500"/>
      <c r="G47" s="500"/>
      <c r="H47" s="500"/>
      <c r="I47" s="501"/>
      <c r="J47" s="15"/>
      <c r="K47" s="15"/>
      <c r="L47" s="24"/>
      <c r="M47" s="24"/>
      <c r="N47" s="24"/>
      <c r="O47" s="16"/>
    </row>
    <row r="48" spans="1:42" ht="22.25" customHeight="1" x14ac:dyDescent="0.2">
      <c r="A48" s="14"/>
      <c r="B48" s="502"/>
      <c r="C48" s="503"/>
      <c r="D48" s="503"/>
      <c r="E48" s="503"/>
      <c r="F48" s="503"/>
      <c r="G48" s="503"/>
      <c r="H48" s="503"/>
      <c r="I48" s="504"/>
      <c r="J48" s="15"/>
      <c r="K48" s="515" t="s">
        <v>97</v>
      </c>
      <c r="L48" s="516"/>
      <c r="M48" s="519"/>
      <c r="N48" s="520"/>
      <c r="O48" s="16"/>
    </row>
    <row r="49" spans="1:15" ht="22.25" customHeight="1" x14ac:dyDescent="0.2">
      <c r="A49" s="14"/>
      <c r="B49" s="505"/>
      <c r="C49" s="506"/>
      <c r="D49" s="506"/>
      <c r="E49" s="506"/>
      <c r="F49" s="506"/>
      <c r="G49" s="506"/>
      <c r="H49" s="506"/>
      <c r="I49" s="507"/>
      <c r="J49" s="15"/>
      <c r="K49" s="517"/>
      <c r="L49" s="518"/>
      <c r="M49" s="521"/>
      <c r="N49" s="522"/>
      <c r="O49" s="16"/>
    </row>
    <row r="50" spans="1:15" ht="22.25" customHeight="1" x14ac:dyDescent="0.2">
      <c r="A50" s="14"/>
      <c r="B50" s="505"/>
      <c r="C50" s="506"/>
      <c r="D50" s="506"/>
      <c r="E50" s="506"/>
      <c r="F50" s="506"/>
      <c r="G50" s="506"/>
      <c r="H50" s="506"/>
      <c r="I50" s="507"/>
      <c r="J50" s="15"/>
      <c r="K50" s="517" t="s">
        <v>157</v>
      </c>
      <c r="L50" s="518"/>
      <c r="M50" s="521"/>
      <c r="N50" s="522"/>
      <c r="O50" s="16"/>
    </row>
    <row r="51" spans="1:15" ht="22.25" customHeight="1" x14ac:dyDescent="0.2">
      <c r="A51" s="14"/>
      <c r="B51" s="505"/>
      <c r="C51" s="506"/>
      <c r="D51" s="506"/>
      <c r="E51" s="506"/>
      <c r="F51" s="506"/>
      <c r="G51" s="506"/>
      <c r="H51" s="506"/>
      <c r="I51" s="507"/>
      <c r="J51" s="15"/>
      <c r="K51" s="517"/>
      <c r="L51" s="518"/>
      <c r="M51" s="521"/>
      <c r="N51" s="522"/>
      <c r="O51" s="16"/>
    </row>
    <row r="52" spans="1:15" ht="22.25" customHeight="1" x14ac:dyDescent="0.2">
      <c r="A52" s="14"/>
      <c r="B52" s="505"/>
      <c r="C52" s="506"/>
      <c r="D52" s="506"/>
      <c r="E52" s="506"/>
      <c r="F52" s="506"/>
      <c r="G52" s="506"/>
      <c r="H52" s="506"/>
      <c r="I52" s="507"/>
      <c r="J52" s="15"/>
      <c r="K52" s="523" t="s">
        <v>10</v>
      </c>
      <c r="L52" s="524"/>
      <c r="M52" s="525"/>
      <c r="N52" s="526"/>
      <c r="O52" s="16"/>
    </row>
    <row r="53" spans="1:15" ht="22.25" customHeight="1" thickBot="1" x14ac:dyDescent="0.25">
      <c r="A53" s="14"/>
      <c r="B53" s="508"/>
      <c r="C53" s="509"/>
      <c r="D53" s="509"/>
      <c r="E53" s="509"/>
      <c r="F53" s="509"/>
      <c r="G53" s="509"/>
      <c r="H53" s="509"/>
      <c r="I53" s="510"/>
      <c r="J53" s="15"/>
      <c r="K53" s="511" t="s">
        <v>259</v>
      </c>
      <c r="L53" s="512"/>
      <c r="M53" s="513"/>
      <c r="N53" s="51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497" t="s">
        <v>135</v>
      </c>
      <c r="C56" s="498"/>
      <c r="D56" s="24"/>
      <c r="E56" s="24"/>
      <c r="F56" s="24"/>
      <c r="G56" s="24"/>
      <c r="H56" s="24"/>
      <c r="I56" s="15"/>
      <c r="J56" s="15"/>
      <c r="K56" s="15"/>
      <c r="L56" s="24"/>
      <c r="M56" s="24"/>
      <c r="N56" s="24"/>
      <c r="O56" s="16"/>
    </row>
    <row r="57" spans="1:15" ht="36" customHeight="1" thickBot="1" x14ac:dyDescent="0.25">
      <c r="A57" s="14"/>
      <c r="B57" s="499" t="s">
        <v>156</v>
      </c>
      <c r="C57" s="500"/>
      <c r="D57" s="500"/>
      <c r="E57" s="500"/>
      <c r="F57" s="500"/>
      <c r="G57" s="500"/>
      <c r="H57" s="500"/>
      <c r="I57" s="501"/>
      <c r="J57" s="15"/>
      <c r="K57" s="15"/>
      <c r="L57" s="24"/>
      <c r="M57" s="24"/>
      <c r="N57" s="24"/>
      <c r="O57" s="16"/>
    </row>
    <row r="58" spans="1:15" ht="22.25" customHeight="1" x14ac:dyDescent="0.2">
      <c r="A58" s="14"/>
      <c r="B58" s="502"/>
      <c r="C58" s="503"/>
      <c r="D58" s="503"/>
      <c r="E58" s="503"/>
      <c r="F58" s="503"/>
      <c r="G58" s="503"/>
      <c r="H58" s="503"/>
      <c r="I58" s="504"/>
      <c r="J58" s="15"/>
      <c r="K58" s="515" t="s">
        <v>97</v>
      </c>
      <c r="L58" s="516"/>
      <c r="M58" s="519"/>
      <c r="N58" s="520"/>
      <c r="O58" s="16"/>
    </row>
    <row r="59" spans="1:15" ht="22.25" customHeight="1" x14ac:dyDescent="0.2">
      <c r="A59" s="14"/>
      <c r="B59" s="505"/>
      <c r="C59" s="506"/>
      <c r="D59" s="506"/>
      <c r="E59" s="506"/>
      <c r="F59" s="506"/>
      <c r="G59" s="506"/>
      <c r="H59" s="506"/>
      <c r="I59" s="507"/>
      <c r="J59" s="15"/>
      <c r="K59" s="517"/>
      <c r="L59" s="518"/>
      <c r="M59" s="521"/>
      <c r="N59" s="522"/>
      <c r="O59" s="16"/>
    </row>
    <row r="60" spans="1:15" ht="22.25" customHeight="1" x14ac:dyDescent="0.2">
      <c r="A60" s="14"/>
      <c r="B60" s="505"/>
      <c r="C60" s="506"/>
      <c r="D60" s="506"/>
      <c r="E60" s="506"/>
      <c r="F60" s="506"/>
      <c r="G60" s="506"/>
      <c r="H60" s="506"/>
      <c r="I60" s="507"/>
      <c r="J60" s="15"/>
      <c r="K60" s="517" t="s">
        <v>158</v>
      </c>
      <c r="L60" s="518"/>
      <c r="M60" s="521"/>
      <c r="N60" s="522"/>
      <c r="O60" s="16"/>
    </row>
    <row r="61" spans="1:15" ht="22.25" customHeight="1" x14ac:dyDescent="0.2">
      <c r="A61" s="14"/>
      <c r="B61" s="505"/>
      <c r="C61" s="506"/>
      <c r="D61" s="506"/>
      <c r="E61" s="506"/>
      <c r="F61" s="506"/>
      <c r="G61" s="506"/>
      <c r="H61" s="506"/>
      <c r="I61" s="507"/>
      <c r="J61" s="15"/>
      <c r="K61" s="517"/>
      <c r="L61" s="518"/>
      <c r="M61" s="521"/>
      <c r="N61" s="522"/>
      <c r="O61" s="16"/>
    </row>
    <row r="62" spans="1:15" ht="22.25" customHeight="1" thickBot="1" x14ac:dyDescent="0.25">
      <c r="A62" s="14"/>
      <c r="B62" s="508"/>
      <c r="C62" s="509"/>
      <c r="D62" s="509"/>
      <c r="E62" s="509"/>
      <c r="F62" s="509"/>
      <c r="G62" s="509"/>
      <c r="H62" s="509"/>
      <c r="I62" s="510"/>
      <c r="J62" s="15"/>
      <c r="K62" s="511" t="s">
        <v>10</v>
      </c>
      <c r="L62" s="512"/>
      <c r="M62" s="513"/>
      <c r="N62" s="51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from Word" prompt="To allow some splitting of text copy and paste paragraphs from Word._x000a_Double click to enable pasting." sqref="B58:I62 B48:I53 B38:I43 B30:I34" xr:uid="{00000000-0002-0000-0C00-000000000000}"/>
    <dataValidation type="date" operator="greaterThan" allowBlank="1" showInputMessage="1" showErrorMessage="1" promptTitle="Date" prompt="Please enter the date in the format dd mmm yyy" sqref="M34:N34 M42:N43 M52:N53 M62:N62" xr:uid="{00000000-0002-0000-0C00-000001000000}">
      <formula1>43607</formula1>
    </dataValidation>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0C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BEE1B57C-3651-43D6-BF16-F9B8116EB8D8}">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2505319C-2413-4A36-8E19-455E24373021}">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1FBE04C1-3374-4B94-84E6-9905F7B83427}">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6C7D69D8-1353-4776-B1D0-BABDC6D966E8}">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C03E1246-7144-4411-8BFD-7D327FFF48DD}">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3D9BC173-CC5E-41A4-A31F-162664A1C274}">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53200BDF-7205-4B27-86D7-160EA22799D1}">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419B70D8-5657-4F1C-B792-0A63068CB6EA}">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BC7C0120-E28C-42A6-BB7A-7FCB50772487}">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9E8F2A9F-DC0A-4F42-9E27-B2B14CF4FF3C}">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36EE390B-D419-4EF5-B81B-27D08722CC7A}">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5D95A629-68EE-40D2-B416-D1A6F12A15EF}">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6DD5B3DF-DCB1-484F-9544-F9E0C2BD08C4}">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A13F9869-642B-410A-AC74-79084FAA3A2F}">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CB4694CE-FEF5-495B-87A8-C321E281E51F}">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5D2E707D-8316-471E-A80F-2EBFB2BEAF80}">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CD1C3856-28C4-4B8A-8B64-6AAAFAD30CFC}">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1BA4E442-D906-4602-B3D5-98ED60FC82D9}">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5C2772BB-F09E-4064-9467-1E06A77F9787}">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4EF3C817-E6CB-47D6-8F93-DECB044B23B1}">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Work Location(s)" prompt="Please select the MAIN work location(s) you have been based at during this period._x000a__x000a_N.B. Warwick University is JLR Research at Warwick" xr:uid="{00000000-0002-0000-0C00-000003000000}">
          <x14:formula1>
            <xm:f>'Drop Down Lists'!$G$2:$G$21</xm:f>
          </x14:formula1>
          <xm:sqref>K5:N6</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0C00-000004000000}">
          <x14:formula1>
            <xm:f>'Drop Down Lists'!$A$22:$A$26</xm:f>
          </x14:formula1>
          <xm:sqref>N10:N26</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0C00-000005000000}">
          <x14:formula1>
            <xm:f>'Drop Down Lists'!$A$2:$A$3</xm:f>
          </x14:formula1>
          <xm:sqref>I44 I54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0C00-000006000000}">
          <x14:formula1>
            <xm:f>'Drop Down Lists'!$A$2:$A$3</xm:f>
          </x14:formula1>
          <xm:sqref>E44 E54</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0C00-000007000000}">
          <x14:formula1>
            <xm:f>'Drop Down Lists'!$A$2:$A$3</xm:f>
          </x14:formula1>
          <xm:sqref>C44 C54</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0C00-000008000000}">
          <x14:formula1>
            <xm:f>'Drop Down Lists'!$A$22:$A$26</xm:f>
          </x14:formula1>
          <xm:sqref>M10:M26</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0C00-000009000000}">
          <x14:formula1>
            <xm:f>'Drop Down Lists'!$A$22:$A$26</xm:f>
          </x14:formula1>
          <xm:sqref>L10:L26</xm:sqref>
        </x14:dataValidation>
        <x14:dataValidation type="list" allowBlank="1" showInputMessage="1" showErrorMessage="1" promptTitle="Attendance" prompt="Attendance &amp; Engagement with the programme:_x000a_Excellent (90-100%)_x000a_Satisfactory (80-90%)_x000a_Concerning (&lt;80%)" xr:uid="{00000000-0002-0000-0C00-00000A000000}">
          <x14:formula1>
            <xm:f>'Drop Down Lists'!$A$38:$A$40</xm:f>
          </x14:formula1>
          <xm:sqref>G54 G44</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pageSetUpPr fitToPage="1"/>
  </sheetPr>
  <dimension ref="A1:AP168"/>
  <sheetViews>
    <sheetView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Y2 R4</v>
      </c>
      <c r="B1" s="19"/>
      <c r="C1" s="19"/>
      <c r="D1" s="19"/>
      <c r="E1" s="19"/>
      <c r="F1" s="19"/>
      <c r="G1" s="19"/>
      <c r="H1" s="19"/>
      <c r="I1" s="19"/>
      <c r="J1" s="19"/>
      <c r="K1" s="223"/>
      <c r="L1" s="529" t="s">
        <v>256</v>
      </c>
      <c r="M1" s="529"/>
      <c r="N1" s="318">
        <f ca="1">TODAY()</f>
        <v>43969</v>
      </c>
      <c r="O1" s="20"/>
    </row>
    <row r="2" spans="1:42" ht="35" x14ac:dyDescent="0.35">
      <c r="A2" s="14"/>
      <c r="B2" s="465" t="s">
        <v>317</v>
      </c>
      <c r="C2" s="465"/>
      <c r="D2" s="465"/>
      <c r="E2" s="465"/>
      <c r="F2" s="465"/>
      <c r="G2" s="465"/>
      <c r="H2" s="465"/>
      <c r="I2" s="465"/>
      <c r="J2" s="465"/>
      <c r="K2" s="465"/>
      <c r="L2" s="465"/>
      <c r="M2" s="465"/>
      <c r="N2" s="465"/>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36" t="s">
        <v>254</v>
      </c>
      <c r="L4" s="537"/>
      <c r="M4" s="537"/>
      <c r="N4" s="53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19" t="s">
        <v>211</v>
      </c>
      <c r="C5" s="421"/>
      <c r="D5" s="530" t="str">
        <f>'Front Sheet'!C5:C6</f>
        <v>Philip</v>
      </c>
      <c r="E5" s="532" t="str">
        <f>'Front Sheet'!D5:D6</f>
        <v>McGaw</v>
      </c>
      <c r="F5" s="534" t="str">
        <f>'Front Sheet'!G2</f>
        <v>pmcgaw</v>
      </c>
      <c r="G5" s="119">
        <f>'Front Sheet'!J5</f>
        <v>83137730</v>
      </c>
      <c r="H5" s="15"/>
      <c r="I5" s="25"/>
      <c r="J5" s="15"/>
      <c r="K5" s="539"/>
      <c r="L5" s="540"/>
      <c r="M5" s="540"/>
      <c r="N5" s="541"/>
      <c r="O5" s="16"/>
    </row>
    <row r="6" spans="1:42" ht="18" customHeight="1" thickBot="1" x14ac:dyDescent="0.25">
      <c r="A6" s="14"/>
      <c r="B6" s="422"/>
      <c r="C6" s="424"/>
      <c r="D6" s="531"/>
      <c r="E6" s="533"/>
      <c r="F6" s="535"/>
      <c r="G6" s="120">
        <f>'Front Sheet'!J6</f>
        <v>0</v>
      </c>
      <c r="H6" s="15"/>
      <c r="I6" s="25"/>
      <c r="J6" s="15"/>
      <c r="K6" s="542"/>
      <c r="L6" s="543"/>
      <c r="M6" s="543"/>
      <c r="N6" s="544"/>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499" t="s">
        <v>232</v>
      </c>
      <c r="C9" s="527"/>
      <c r="D9" s="527"/>
      <c r="E9" s="527"/>
      <c r="F9" s="527"/>
      <c r="G9" s="527"/>
      <c r="H9" s="527"/>
      <c r="I9" s="528"/>
      <c r="J9" s="15"/>
      <c r="K9" s="26" t="s">
        <v>136</v>
      </c>
      <c r="L9" s="89" t="s">
        <v>126</v>
      </c>
      <c r="M9" s="89" t="s">
        <v>128</v>
      </c>
      <c r="N9" s="96" t="s">
        <v>127</v>
      </c>
      <c r="O9" s="16"/>
      <c r="P9" s="165"/>
      <c r="Q9" s="165"/>
      <c r="R9" s="165"/>
      <c r="S9" s="165"/>
      <c r="T9" s="165"/>
    </row>
    <row r="10" spans="1:42" ht="22.25" customHeight="1" x14ac:dyDescent="0.2">
      <c r="A10" s="14"/>
      <c r="B10" s="502"/>
      <c r="C10" s="503"/>
      <c r="D10" s="503"/>
      <c r="E10" s="503"/>
      <c r="F10" s="503"/>
      <c r="G10" s="503"/>
      <c r="H10" s="503"/>
      <c r="I10" s="504"/>
      <c r="J10" s="15"/>
      <c r="K10" s="27" t="s">
        <v>109</v>
      </c>
      <c r="L10" s="170"/>
      <c r="M10" s="171"/>
      <c r="N10" s="172"/>
      <c r="O10" s="16"/>
    </row>
    <row r="11" spans="1:42" ht="22.25" customHeight="1" x14ac:dyDescent="0.2">
      <c r="A11" s="14"/>
      <c r="B11" s="505"/>
      <c r="C11" s="506"/>
      <c r="D11" s="506"/>
      <c r="E11" s="506"/>
      <c r="F11" s="506"/>
      <c r="G11" s="506"/>
      <c r="H11" s="506"/>
      <c r="I11" s="507"/>
      <c r="J11" s="15"/>
      <c r="K11" s="28" t="s">
        <v>110</v>
      </c>
      <c r="L11" s="173"/>
      <c r="M11" s="173"/>
      <c r="N11" s="174"/>
      <c r="O11" s="16"/>
    </row>
    <row r="12" spans="1:42" ht="22.25" customHeight="1" x14ac:dyDescent="0.2">
      <c r="A12" s="14"/>
      <c r="B12" s="505"/>
      <c r="C12" s="506"/>
      <c r="D12" s="506"/>
      <c r="E12" s="506"/>
      <c r="F12" s="506"/>
      <c r="G12" s="506"/>
      <c r="H12" s="506"/>
      <c r="I12" s="507"/>
      <c r="J12" s="15"/>
      <c r="K12" s="28" t="s">
        <v>111</v>
      </c>
      <c r="L12" s="173"/>
      <c r="M12" s="173"/>
      <c r="N12" s="174"/>
      <c r="O12" s="16"/>
    </row>
    <row r="13" spans="1:42" ht="22.25" customHeight="1" x14ac:dyDescent="0.2">
      <c r="A13" s="14"/>
      <c r="B13" s="505"/>
      <c r="C13" s="506"/>
      <c r="D13" s="506"/>
      <c r="E13" s="506"/>
      <c r="F13" s="506"/>
      <c r="G13" s="506"/>
      <c r="H13" s="506"/>
      <c r="I13" s="507"/>
      <c r="J13" s="15"/>
      <c r="K13" s="28" t="s">
        <v>112</v>
      </c>
      <c r="L13" s="173"/>
      <c r="M13" s="173"/>
      <c r="N13" s="174"/>
      <c r="O13" s="16"/>
    </row>
    <row r="14" spans="1:42" ht="22.25" customHeight="1" x14ac:dyDescent="0.2">
      <c r="A14" s="14"/>
      <c r="B14" s="505"/>
      <c r="C14" s="506"/>
      <c r="D14" s="506"/>
      <c r="E14" s="506"/>
      <c r="F14" s="506"/>
      <c r="G14" s="506"/>
      <c r="H14" s="506"/>
      <c r="I14" s="507"/>
      <c r="J14" s="15"/>
      <c r="K14" s="28" t="s">
        <v>113</v>
      </c>
      <c r="L14" s="173"/>
      <c r="M14" s="173"/>
      <c r="N14" s="174"/>
      <c r="O14" s="16"/>
    </row>
    <row r="15" spans="1:42" ht="22.25" customHeight="1" x14ac:dyDescent="0.2">
      <c r="A15" s="14"/>
      <c r="B15" s="505"/>
      <c r="C15" s="506"/>
      <c r="D15" s="506"/>
      <c r="E15" s="506"/>
      <c r="F15" s="506"/>
      <c r="G15" s="506"/>
      <c r="H15" s="506"/>
      <c r="I15" s="507"/>
      <c r="J15" s="15"/>
      <c r="K15" s="28" t="s">
        <v>114</v>
      </c>
      <c r="L15" s="173"/>
      <c r="M15" s="173"/>
      <c r="N15" s="174"/>
      <c r="O15" s="16"/>
    </row>
    <row r="16" spans="1:42" ht="22.25" customHeight="1" x14ac:dyDescent="0.2">
      <c r="A16" s="14"/>
      <c r="B16" s="505"/>
      <c r="C16" s="506"/>
      <c r="D16" s="506"/>
      <c r="E16" s="506"/>
      <c r="F16" s="506"/>
      <c r="G16" s="506"/>
      <c r="H16" s="506"/>
      <c r="I16" s="507"/>
      <c r="J16" s="15"/>
      <c r="K16" s="28" t="s">
        <v>115</v>
      </c>
      <c r="L16" s="173"/>
      <c r="M16" s="173"/>
      <c r="N16" s="174"/>
      <c r="O16" s="16"/>
    </row>
    <row r="17" spans="1:42" ht="22.25" customHeight="1" x14ac:dyDescent="0.2">
      <c r="A17" s="14"/>
      <c r="B17" s="505"/>
      <c r="C17" s="506"/>
      <c r="D17" s="506"/>
      <c r="E17" s="506"/>
      <c r="F17" s="506"/>
      <c r="G17" s="506"/>
      <c r="H17" s="506"/>
      <c r="I17" s="507"/>
      <c r="J17" s="15"/>
      <c r="K17" s="28" t="s">
        <v>116</v>
      </c>
      <c r="L17" s="173"/>
      <c r="M17" s="173"/>
      <c r="N17" s="174"/>
      <c r="O17" s="16"/>
    </row>
    <row r="18" spans="1:42" ht="22.25" customHeight="1" x14ac:dyDescent="0.2">
      <c r="A18" s="14"/>
      <c r="B18" s="505"/>
      <c r="C18" s="506"/>
      <c r="D18" s="506"/>
      <c r="E18" s="506"/>
      <c r="F18" s="506"/>
      <c r="G18" s="506"/>
      <c r="H18" s="506"/>
      <c r="I18" s="507"/>
      <c r="J18" s="15"/>
      <c r="K18" s="28" t="s">
        <v>117</v>
      </c>
      <c r="L18" s="173"/>
      <c r="M18" s="173"/>
      <c r="N18" s="174"/>
      <c r="O18" s="16"/>
    </row>
    <row r="19" spans="1:42" ht="22.25" customHeight="1" x14ac:dyDescent="0.2">
      <c r="A19" s="14"/>
      <c r="B19" s="505"/>
      <c r="C19" s="506"/>
      <c r="D19" s="506"/>
      <c r="E19" s="506"/>
      <c r="F19" s="506"/>
      <c r="G19" s="506"/>
      <c r="H19" s="506"/>
      <c r="I19" s="507"/>
      <c r="J19" s="15"/>
      <c r="K19" s="28" t="s">
        <v>118</v>
      </c>
      <c r="L19" s="173"/>
      <c r="M19" s="173"/>
      <c r="N19" s="174"/>
      <c r="O19" s="16"/>
    </row>
    <row r="20" spans="1:42" ht="22.25" customHeight="1" x14ac:dyDescent="0.2">
      <c r="A20" s="14"/>
      <c r="B20" s="505"/>
      <c r="C20" s="506"/>
      <c r="D20" s="506"/>
      <c r="E20" s="506"/>
      <c r="F20" s="506"/>
      <c r="G20" s="506"/>
      <c r="H20" s="506"/>
      <c r="I20" s="507"/>
      <c r="J20" s="15"/>
      <c r="K20" s="28" t="s">
        <v>119</v>
      </c>
      <c r="L20" s="173"/>
      <c r="M20" s="173"/>
      <c r="N20" s="174"/>
      <c r="O20" s="16"/>
    </row>
    <row r="21" spans="1:42" ht="22.25" customHeight="1" x14ac:dyDescent="0.2">
      <c r="A21" s="14"/>
      <c r="B21" s="505"/>
      <c r="C21" s="506"/>
      <c r="D21" s="506"/>
      <c r="E21" s="506"/>
      <c r="F21" s="506"/>
      <c r="G21" s="506"/>
      <c r="H21" s="506"/>
      <c r="I21" s="507"/>
      <c r="J21" s="15"/>
      <c r="K21" s="28" t="s">
        <v>120</v>
      </c>
      <c r="L21" s="173"/>
      <c r="M21" s="173"/>
      <c r="N21" s="174"/>
      <c r="O21" s="16"/>
    </row>
    <row r="22" spans="1:42" ht="22.25" customHeight="1" x14ac:dyDescent="0.2">
      <c r="A22" s="14"/>
      <c r="B22" s="505"/>
      <c r="C22" s="506"/>
      <c r="D22" s="506"/>
      <c r="E22" s="506"/>
      <c r="F22" s="506"/>
      <c r="G22" s="506"/>
      <c r="H22" s="506"/>
      <c r="I22" s="507"/>
      <c r="J22" s="15"/>
      <c r="K22" s="28" t="s">
        <v>121</v>
      </c>
      <c r="L22" s="173"/>
      <c r="M22" s="173"/>
      <c r="N22" s="174"/>
      <c r="O22" s="16"/>
    </row>
    <row r="23" spans="1:42" ht="22.25" customHeight="1" x14ac:dyDescent="0.2">
      <c r="A23" s="14"/>
      <c r="B23" s="505"/>
      <c r="C23" s="506"/>
      <c r="D23" s="506"/>
      <c r="E23" s="506"/>
      <c r="F23" s="506"/>
      <c r="G23" s="506"/>
      <c r="H23" s="506"/>
      <c r="I23" s="507"/>
      <c r="J23" s="15"/>
      <c r="K23" s="28" t="s">
        <v>122</v>
      </c>
      <c r="L23" s="173"/>
      <c r="M23" s="173"/>
      <c r="N23" s="174"/>
      <c r="O23" s="16"/>
    </row>
    <row r="24" spans="1:42" ht="22.25" customHeight="1" x14ac:dyDescent="0.2">
      <c r="A24" s="14"/>
      <c r="B24" s="505"/>
      <c r="C24" s="506"/>
      <c r="D24" s="506"/>
      <c r="E24" s="506"/>
      <c r="F24" s="506"/>
      <c r="G24" s="506"/>
      <c r="H24" s="506"/>
      <c r="I24" s="507"/>
      <c r="J24" s="15"/>
      <c r="K24" s="28" t="s">
        <v>123</v>
      </c>
      <c r="L24" s="173"/>
      <c r="M24" s="173"/>
      <c r="N24" s="174"/>
      <c r="O24" s="16"/>
    </row>
    <row r="25" spans="1:42" ht="22.25" customHeight="1" x14ac:dyDescent="0.2">
      <c r="A25" s="14"/>
      <c r="B25" s="505"/>
      <c r="C25" s="506"/>
      <c r="D25" s="506"/>
      <c r="E25" s="506"/>
      <c r="F25" s="506"/>
      <c r="G25" s="506"/>
      <c r="H25" s="506"/>
      <c r="I25" s="507"/>
      <c r="J25" s="15"/>
      <c r="K25" s="28" t="s">
        <v>124</v>
      </c>
      <c r="L25" s="173"/>
      <c r="M25" s="173"/>
      <c r="N25" s="174"/>
      <c r="O25" s="16"/>
    </row>
    <row r="26" spans="1:42" ht="22.25" customHeight="1" thickBot="1" x14ac:dyDescent="0.25">
      <c r="A26" s="14"/>
      <c r="B26" s="508"/>
      <c r="C26" s="509"/>
      <c r="D26" s="509"/>
      <c r="E26" s="509"/>
      <c r="F26" s="509"/>
      <c r="G26" s="509"/>
      <c r="H26" s="509"/>
      <c r="I26" s="510"/>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497" t="s">
        <v>134</v>
      </c>
      <c r="C28" s="498"/>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499" t="s">
        <v>137</v>
      </c>
      <c r="C29" s="500"/>
      <c r="D29" s="500"/>
      <c r="E29" s="500"/>
      <c r="F29" s="500"/>
      <c r="G29" s="500"/>
      <c r="H29" s="500"/>
      <c r="I29" s="501"/>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02"/>
      <c r="C30" s="503"/>
      <c r="D30" s="503"/>
      <c r="E30" s="503"/>
      <c r="F30" s="503"/>
      <c r="G30" s="503"/>
      <c r="H30" s="503"/>
      <c r="I30" s="504"/>
      <c r="J30" s="15"/>
      <c r="K30" s="515" t="s">
        <v>97</v>
      </c>
      <c r="L30" s="516"/>
      <c r="M30" s="519"/>
      <c r="N30" s="520"/>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05"/>
      <c r="C31" s="506"/>
      <c r="D31" s="506"/>
      <c r="E31" s="506"/>
      <c r="F31" s="506"/>
      <c r="G31" s="506"/>
      <c r="H31" s="506"/>
      <c r="I31" s="507"/>
      <c r="J31" s="15"/>
      <c r="K31" s="517"/>
      <c r="L31" s="518"/>
      <c r="M31" s="521"/>
      <c r="N31" s="522"/>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05"/>
      <c r="C32" s="506"/>
      <c r="D32" s="506"/>
      <c r="E32" s="506"/>
      <c r="F32" s="506"/>
      <c r="G32" s="506"/>
      <c r="H32" s="506"/>
      <c r="I32" s="507"/>
      <c r="J32" s="15"/>
      <c r="K32" s="517" t="s">
        <v>98</v>
      </c>
      <c r="L32" s="518"/>
      <c r="M32" s="521"/>
      <c r="N32" s="522"/>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05"/>
      <c r="C33" s="506"/>
      <c r="D33" s="506"/>
      <c r="E33" s="506"/>
      <c r="F33" s="506"/>
      <c r="G33" s="506"/>
      <c r="H33" s="506"/>
      <c r="I33" s="507"/>
      <c r="J33" s="15"/>
      <c r="K33" s="517"/>
      <c r="L33" s="518"/>
      <c r="M33" s="521"/>
      <c r="N33" s="522"/>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08"/>
      <c r="C34" s="509"/>
      <c r="D34" s="509"/>
      <c r="E34" s="509"/>
      <c r="F34" s="509"/>
      <c r="G34" s="509"/>
      <c r="H34" s="509"/>
      <c r="I34" s="510"/>
      <c r="J34" s="15"/>
      <c r="K34" s="511" t="s">
        <v>10</v>
      </c>
      <c r="L34" s="512"/>
      <c r="M34" s="513"/>
      <c r="N34" s="51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497" t="s">
        <v>223</v>
      </c>
      <c r="C36" s="498"/>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499" t="s">
        <v>231</v>
      </c>
      <c r="C37" s="500"/>
      <c r="D37" s="500"/>
      <c r="E37" s="500"/>
      <c r="F37" s="500"/>
      <c r="G37" s="500"/>
      <c r="H37" s="500"/>
      <c r="I37" s="501"/>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02"/>
      <c r="C38" s="503"/>
      <c r="D38" s="503"/>
      <c r="E38" s="503"/>
      <c r="F38" s="503"/>
      <c r="G38" s="503"/>
      <c r="H38" s="503"/>
      <c r="I38" s="504"/>
      <c r="J38" s="15"/>
      <c r="K38" s="515" t="s">
        <v>97</v>
      </c>
      <c r="L38" s="516"/>
      <c r="M38" s="519"/>
      <c r="N38" s="520"/>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05"/>
      <c r="C39" s="506"/>
      <c r="D39" s="506"/>
      <c r="E39" s="506"/>
      <c r="F39" s="506"/>
      <c r="G39" s="506"/>
      <c r="H39" s="506"/>
      <c r="I39" s="507"/>
      <c r="J39" s="15"/>
      <c r="K39" s="517"/>
      <c r="L39" s="518"/>
      <c r="M39" s="521"/>
      <c r="N39" s="522"/>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05"/>
      <c r="C40" s="506"/>
      <c r="D40" s="506"/>
      <c r="E40" s="506"/>
      <c r="F40" s="506"/>
      <c r="G40" s="506"/>
      <c r="H40" s="506"/>
      <c r="I40" s="507"/>
      <c r="J40" s="15"/>
      <c r="K40" s="517" t="s">
        <v>157</v>
      </c>
      <c r="L40" s="518"/>
      <c r="M40" s="521"/>
      <c r="N40" s="522"/>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05"/>
      <c r="C41" s="506"/>
      <c r="D41" s="506"/>
      <c r="E41" s="506"/>
      <c r="F41" s="506"/>
      <c r="G41" s="506"/>
      <c r="H41" s="506"/>
      <c r="I41" s="507"/>
      <c r="J41" s="15"/>
      <c r="K41" s="517"/>
      <c r="L41" s="518"/>
      <c r="M41" s="521"/>
      <c r="N41" s="522"/>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05"/>
      <c r="C42" s="506"/>
      <c r="D42" s="506"/>
      <c r="E42" s="506"/>
      <c r="F42" s="506"/>
      <c r="G42" s="506"/>
      <c r="H42" s="506"/>
      <c r="I42" s="507"/>
      <c r="J42" s="15"/>
      <c r="K42" s="523" t="s">
        <v>10</v>
      </c>
      <c r="L42" s="524"/>
      <c r="M42" s="525"/>
      <c r="N42" s="526"/>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05"/>
      <c r="C43" s="506"/>
      <c r="D43" s="509"/>
      <c r="E43" s="509"/>
      <c r="F43" s="509"/>
      <c r="G43" s="509"/>
      <c r="H43" s="509"/>
      <c r="I43" s="510"/>
      <c r="J43" s="15"/>
      <c r="K43" s="511" t="s">
        <v>260</v>
      </c>
      <c r="L43" s="512"/>
      <c r="M43" s="513"/>
      <c r="N43" s="51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497" t="s">
        <v>223</v>
      </c>
      <c r="C46" s="498"/>
      <c r="D46" s="24"/>
      <c r="E46" s="24"/>
      <c r="F46" s="24"/>
      <c r="G46" s="24"/>
      <c r="H46" s="24"/>
      <c r="I46" s="15"/>
      <c r="J46" s="15"/>
      <c r="K46" s="15"/>
      <c r="L46" s="24"/>
      <c r="M46" s="24"/>
      <c r="N46" s="24"/>
      <c r="O46" s="16"/>
    </row>
    <row r="47" spans="1:42" ht="51" customHeight="1" thickBot="1" x14ac:dyDescent="0.25">
      <c r="A47" s="14"/>
      <c r="B47" s="499" t="s">
        <v>230</v>
      </c>
      <c r="C47" s="500"/>
      <c r="D47" s="500"/>
      <c r="E47" s="500"/>
      <c r="F47" s="500"/>
      <c r="G47" s="500"/>
      <c r="H47" s="500"/>
      <c r="I47" s="501"/>
      <c r="J47" s="15"/>
      <c r="K47" s="15"/>
      <c r="L47" s="24"/>
      <c r="M47" s="24"/>
      <c r="N47" s="24"/>
      <c r="O47" s="16"/>
    </row>
    <row r="48" spans="1:42" ht="22.25" customHeight="1" x14ac:dyDescent="0.2">
      <c r="A48" s="14"/>
      <c r="B48" s="502"/>
      <c r="C48" s="503"/>
      <c r="D48" s="503"/>
      <c r="E48" s="503"/>
      <c r="F48" s="503"/>
      <c r="G48" s="503"/>
      <c r="H48" s="503"/>
      <c r="I48" s="504"/>
      <c r="J48" s="15"/>
      <c r="K48" s="515" t="s">
        <v>97</v>
      </c>
      <c r="L48" s="516"/>
      <c r="M48" s="519"/>
      <c r="N48" s="520"/>
      <c r="O48" s="16"/>
    </row>
    <row r="49" spans="1:15" ht="22.25" customHeight="1" x14ac:dyDescent="0.2">
      <c r="A49" s="14"/>
      <c r="B49" s="505"/>
      <c r="C49" s="506"/>
      <c r="D49" s="506"/>
      <c r="E49" s="506"/>
      <c r="F49" s="506"/>
      <c r="G49" s="506"/>
      <c r="H49" s="506"/>
      <c r="I49" s="507"/>
      <c r="J49" s="15"/>
      <c r="K49" s="517"/>
      <c r="L49" s="518"/>
      <c r="M49" s="521"/>
      <c r="N49" s="522"/>
      <c r="O49" s="16"/>
    </row>
    <row r="50" spans="1:15" ht="22.25" customHeight="1" x14ac:dyDescent="0.2">
      <c r="A50" s="14"/>
      <c r="B50" s="505"/>
      <c r="C50" s="506"/>
      <c r="D50" s="506"/>
      <c r="E50" s="506"/>
      <c r="F50" s="506"/>
      <c r="G50" s="506"/>
      <c r="H50" s="506"/>
      <c r="I50" s="507"/>
      <c r="J50" s="15"/>
      <c r="K50" s="517" t="s">
        <v>157</v>
      </c>
      <c r="L50" s="518"/>
      <c r="M50" s="521"/>
      <c r="N50" s="522"/>
      <c r="O50" s="16"/>
    </row>
    <row r="51" spans="1:15" ht="22.25" customHeight="1" x14ac:dyDescent="0.2">
      <c r="A51" s="14"/>
      <c r="B51" s="505"/>
      <c r="C51" s="506"/>
      <c r="D51" s="506"/>
      <c r="E51" s="506"/>
      <c r="F51" s="506"/>
      <c r="G51" s="506"/>
      <c r="H51" s="506"/>
      <c r="I51" s="507"/>
      <c r="J51" s="15"/>
      <c r="K51" s="517"/>
      <c r="L51" s="518"/>
      <c r="M51" s="521"/>
      <c r="N51" s="522"/>
      <c r="O51" s="16"/>
    </row>
    <row r="52" spans="1:15" ht="22.25" customHeight="1" x14ac:dyDescent="0.2">
      <c r="A52" s="14"/>
      <c r="B52" s="505"/>
      <c r="C52" s="506"/>
      <c r="D52" s="506"/>
      <c r="E52" s="506"/>
      <c r="F52" s="506"/>
      <c r="G52" s="506"/>
      <c r="H52" s="506"/>
      <c r="I52" s="507"/>
      <c r="J52" s="15"/>
      <c r="K52" s="523" t="s">
        <v>10</v>
      </c>
      <c r="L52" s="524"/>
      <c r="M52" s="525"/>
      <c r="N52" s="526"/>
      <c r="O52" s="16"/>
    </row>
    <row r="53" spans="1:15" ht="22.25" customHeight="1" thickBot="1" x14ac:dyDescent="0.25">
      <c r="A53" s="14"/>
      <c r="B53" s="508"/>
      <c r="C53" s="509"/>
      <c r="D53" s="509"/>
      <c r="E53" s="509"/>
      <c r="F53" s="509"/>
      <c r="G53" s="509"/>
      <c r="H53" s="509"/>
      <c r="I53" s="510"/>
      <c r="J53" s="15"/>
      <c r="K53" s="511" t="s">
        <v>259</v>
      </c>
      <c r="L53" s="512"/>
      <c r="M53" s="513"/>
      <c r="N53" s="51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497" t="s">
        <v>135</v>
      </c>
      <c r="C56" s="498"/>
      <c r="D56" s="24"/>
      <c r="E56" s="24"/>
      <c r="F56" s="24"/>
      <c r="G56" s="24"/>
      <c r="H56" s="24"/>
      <c r="I56" s="15"/>
      <c r="J56" s="15"/>
      <c r="K56" s="15"/>
      <c r="L56" s="24"/>
      <c r="M56" s="24"/>
      <c r="N56" s="24"/>
      <c r="O56" s="16"/>
    </row>
    <row r="57" spans="1:15" ht="36" customHeight="1" thickBot="1" x14ac:dyDescent="0.25">
      <c r="A57" s="14"/>
      <c r="B57" s="499" t="s">
        <v>156</v>
      </c>
      <c r="C57" s="500"/>
      <c r="D57" s="500"/>
      <c r="E57" s="500"/>
      <c r="F57" s="500"/>
      <c r="G57" s="500"/>
      <c r="H57" s="500"/>
      <c r="I57" s="501"/>
      <c r="J57" s="15"/>
      <c r="K57" s="15"/>
      <c r="L57" s="24"/>
      <c r="M57" s="24"/>
      <c r="N57" s="24"/>
      <c r="O57" s="16"/>
    </row>
    <row r="58" spans="1:15" ht="22.25" customHeight="1" x14ac:dyDescent="0.2">
      <c r="A58" s="14"/>
      <c r="B58" s="502"/>
      <c r="C58" s="503"/>
      <c r="D58" s="503"/>
      <c r="E58" s="503"/>
      <c r="F58" s="503"/>
      <c r="G58" s="503"/>
      <c r="H58" s="503"/>
      <c r="I58" s="504"/>
      <c r="J58" s="15"/>
      <c r="K58" s="515" t="s">
        <v>97</v>
      </c>
      <c r="L58" s="516"/>
      <c r="M58" s="519"/>
      <c r="N58" s="520"/>
      <c r="O58" s="16"/>
    </row>
    <row r="59" spans="1:15" ht="22.25" customHeight="1" x14ac:dyDescent="0.2">
      <c r="A59" s="14"/>
      <c r="B59" s="505"/>
      <c r="C59" s="506"/>
      <c r="D59" s="506"/>
      <c r="E59" s="506"/>
      <c r="F59" s="506"/>
      <c r="G59" s="506"/>
      <c r="H59" s="506"/>
      <c r="I59" s="507"/>
      <c r="J59" s="15"/>
      <c r="K59" s="517"/>
      <c r="L59" s="518"/>
      <c r="M59" s="521"/>
      <c r="N59" s="522"/>
      <c r="O59" s="16"/>
    </row>
    <row r="60" spans="1:15" ht="22.25" customHeight="1" x14ac:dyDescent="0.2">
      <c r="A60" s="14"/>
      <c r="B60" s="505"/>
      <c r="C60" s="506"/>
      <c r="D60" s="506"/>
      <c r="E60" s="506"/>
      <c r="F60" s="506"/>
      <c r="G60" s="506"/>
      <c r="H60" s="506"/>
      <c r="I60" s="507"/>
      <c r="J60" s="15"/>
      <c r="K60" s="517" t="s">
        <v>158</v>
      </c>
      <c r="L60" s="518"/>
      <c r="M60" s="521"/>
      <c r="N60" s="522"/>
      <c r="O60" s="16"/>
    </row>
    <row r="61" spans="1:15" ht="22.25" customHeight="1" x14ac:dyDescent="0.2">
      <c r="A61" s="14"/>
      <c r="B61" s="505"/>
      <c r="C61" s="506"/>
      <c r="D61" s="506"/>
      <c r="E61" s="506"/>
      <c r="F61" s="506"/>
      <c r="G61" s="506"/>
      <c r="H61" s="506"/>
      <c r="I61" s="507"/>
      <c r="J61" s="15"/>
      <c r="K61" s="517"/>
      <c r="L61" s="518"/>
      <c r="M61" s="521"/>
      <c r="N61" s="522"/>
      <c r="O61" s="16"/>
    </row>
    <row r="62" spans="1:15" ht="22.25" customHeight="1" thickBot="1" x14ac:dyDescent="0.25">
      <c r="A62" s="14"/>
      <c r="B62" s="508"/>
      <c r="C62" s="509"/>
      <c r="D62" s="509"/>
      <c r="E62" s="509"/>
      <c r="F62" s="509"/>
      <c r="G62" s="509"/>
      <c r="H62" s="509"/>
      <c r="I62" s="510"/>
      <c r="J62" s="15"/>
      <c r="K62" s="511" t="s">
        <v>10</v>
      </c>
      <c r="L62" s="512"/>
      <c r="M62" s="513"/>
      <c r="N62" s="51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0D00-000000000000}"/>
    <dataValidation type="date" operator="greaterThan" allowBlank="1" showInputMessage="1" showErrorMessage="1" promptTitle="Date" prompt="Please enter the date in the format dd mmm yyy" sqref="M34:N34 M42:N43 M52:N53 M62:N62" xr:uid="{00000000-0002-0000-0D00-000001000000}">
      <formula1>43607</formula1>
    </dataValidation>
    <dataValidation allowBlank="1" showInputMessage="1" showErrorMessage="1" promptTitle="Copy &amp; Paste from Word" prompt="To allow some splitting of text copy and paste paragraphs from Word._x000a_Double click to enable pasting." sqref="B58:I62 B48:I53 B38:I43 B30:I34" xr:uid="{00000000-0002-0000-0D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18A46A05-DB70-49FD-9C12-C379AE4B65DA}">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4F3F1C24-053F-47E8-A704-8E0CBA7F652D}">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C42F6627-335A-440D-AD39-736D41150741}">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B10EA778-EEF2-4AF3-98F0-FD834406BFA2}">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A561B86D-6D9F-4DE6-BB66-8DBE5D6CE770}">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08D504D3-D725-4BC7-BF69-04AEB6AB188F}">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AC3D0825-39EF-4D4E-B6C4-A9068962E35F}">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0610B7BA-A660-4324-B09B-B879A9CBCDFD}">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008DC4AE-5AA0-4E96-81D6-82C58A7D535F}">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573D5D7A-6642-4A6E-9EF6-3174CAD8001E}">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63494AB9-0D2A-4E1C-A877-A2241F491DC8}">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3574C658-C995-4DE0-96F4-926F39B76F28}">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A0F6456D-980D-4E7A-8D16-1254F40FCCFB}">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4F1B105C-9173-488E-B273-8A018991645B}">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F671E0B4-C652-4F79-AA52-87BFF9585B80}">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FAFBC6AC-9242-4D2A-BAA7-FB397464E4A5}">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60D24187-9BC8-44C8-BD99-0B984E305050}">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24B8AB1A-6EFE-43DC-9F0C-565A298602E4}">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A1AA4A65-834B-44FD-978E-B20794B6BF0D}">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66C7EC67-86DE-4C53-A0B7-C0B9AA620201}">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Attendance" prompt="Attendance &amp; Engagement with the programme:_x000a_Excellent (90-100%)_x000a_Satisfactory (80-90%)_x000a_Concerning (&lt;80%)" xr:uid="{00000000-0002-0000-0D00-000003000000}">
          <x14:formula1>
            <xm:f>'Drop Down Lists'!$A$38:$A$40</xm:f>
          </x14:formula1>
          <xm:sqref>G54 G44</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0D00-000004000000}">
          <x14:formula1>
            <xm:f>'Drop Down Lists'!$A$22:$A$26</xm:f>
          </x14:formula1>
          <xm:sqref>L10:L26</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0D00-000005000000}">
          <x14:formula1>
            <xm:f>'Drop Down Lists'!$A$22:$A$26</xm:f>
          </x14:formula1>
          <xm:sqref>M10:M26</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0D00-000006000000}">
          <x14:formula1>
            <xm:f>'Drop Down Lists'!$A$2:$A$3</xm:f>
          </x14:formula1>
          <xm:sqref>C44 C54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0D00-000007000000}">
          <x14:formula1>
            <xm:f>'Drop Down Lists'!$A$2:$A$3</xm:f>
          </x14:formula1>
          <xm:sqref>E44 E54</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0D00-000008000000}">
          <x14:formula1>
            <xm:f>'Drop Down Lists'!$A$2:$A$3</xm:f>
          </x14:formula1>
          <xm:sqref>I44 I54</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0D00-000009000000}">
          <x14:formula1>
            <xm:f>'Drop Down Lists'!$A$22:$A$26</xm:f>
          </x14:formula1>
          <xm:sqref>N10:N26</xm:sqref>
        </x14:dataValidation>
        <x14:dataValidation type="list" allowBlank="1" showInputMessage="1" showErrorMessage="1" promptTitle="Work Location(s)" prompt="Please select the MAIN work location(s) you have been based at during this period._x000a__x000a_N.B. Warwick University is JLR Research at Warwick" xr:uid="{00000000-0002-0000-0D00-00000A000000}">
          <x14:formula1>
            <xm:f>'Drop Down Lists'!$G$2:$G$21</xm:f>
          </x14:formula1>
          <xm:sqref>K5:N6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pageSetUpPr fitToPage="1"/>
  </sheetPr>
  <dimension ref="A1:AP168"/>
  <sheetViews>
    <sheetView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Y3 R1</v>
      </c>
      <c r="B1" s="19"/>
      <c r="C1" s="19"/>
      <c r="D1" s="19"/>
      <c r="E1" s="19"/>
      <c r="F1" s="19"/>
      <c r="G1" s="19"/>
      <c r="H1" s="19"/>
      <c r="I1" s="19"/>
      <c r="J1" s="19"/>
      <c r="K1" s="223"/>
      <c r="L1" s="529" t="s">
        <v>256</v>
      </c>
      <c r="M1" s="529"/>
      <c r="N1" s="318">
        <f ca="1">TODAY()</f>
        <v>43969</v>
      </c>
      <c r="O1" s="20"/>
    </row>
    <row r="2" spans="1:42" ht="35" x14ac:dyDescent="0.35">
      <c r="A2" s="14"/>
      <c r="B2" s="465" t="s">
        <v>318</v>
      </c>
      <c r="C2" s="465"/>
      <c r="D2" s="465"/>
      <c r="E2" s="465"/>
      <c r="F2" s="465"/>
      <c r="G2" s="465"/>
      <c r="H2" s="465"/>
      <c r="I2" s="465"/>
      <c r="J2" s="465"/>
      <c r="K2" s="465"/>
      <c r="L2" s="465"/>
      <c r="M2" s="465"/>
      <c r="N2" s="465"/>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36" t="s">
        <v>254</v>
      </c>
      <c r="L4" s="537"/>
      <c r="M4" s="537"/>
      <c r="N4" s="53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19" t="s">
        <v>211</v>
      </c>
      <c r="C5" s="421"/>
      <c r="D5" s="530" t="str">
        <f>'Front Sheet'!C5:C6</f>
        <v>Philip</v>
      </c>
      <c r="E5" s="532" t="str">
        <f>'Front Sheet'!D5:D6</f>
        <v>McGaw</v>
      </c>
      <c r="F5" s="534" t="str">
        <f>'Front Sheet'!G2</f>
        <v>pmcgaw</v>
      </c>
      <c r="G5" s="119">
        <f>'Front Sheet'!J5</f>
        <v>83137730</v>
      </c>
      <c r="H5" s="15"/>
      <c r="I5" s="25"/>
      <c r="J5" s="15"/>
      <c r="K5" s="539"/>
      <c r="L5" s="540"/>
      <c r="M5" s="540"/>
      <c r="N5" s="541"/>
      <c r="O5" s="16"/>
    </row>
    <row r="6" spans="1:42" ht="18" customHeight="1" thickBot="1" x14ac:dyDescent="0.25">
      <c r="A6" s="14"/>
      <c r="B6" s="422"/>
      <c r="C6" s="424"/>
      <c r="D6" s="531"/>
      <c r="E6" s="533"/>
      <c r="F6" s="535"/>
      <c r="G6" s="120">
        <f>'Front Sheet'!J6</f>
        <v>0</v>
      </c>
      <c r="H6" s="15"/>
      <c r="I6" s="25"/>
      <c r="J6" s="15"/>
      <c r="K6" s="542"/>
      <c r="L6" s="543"/>
      <c r="M6" s="543"/>
      <c r="N6" s="544"/>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499" t="s">
        <v>232</v>
      </c>
      <c r="C9" s="527"/>
      <c r="D9" s="527"/>
      <c r="E9" s="527"/>
      <c r="F9" s="527"/>
      <c r="G9" s="527"/>
      <c r="H9" s="527"/>
      <c r="I9" s="528"/>
      <c r="J9" s="15"/>
      <c r="K9" s="26" t="s">
        <v>136</v>
      </c>
      <c r="L9" s="89" t="s">
        <v>126</v>
      </c>
      <c r="M9" s="89" t="s">
        <v>128</v>
      </c>
      <c r="N9" s="96" t="s">
        <v>127</v>
      </c>
      <c r="O9" s="16"/>
      <c r="P9" s="165"/>
      <c r="Q9" s="165"/>
      <c r="R9" s="165"/>
      <c r="S9" s="165"/>
      <c r="T9" s="165"/>
    </row>
    <row r="10" spans="1:42" ht="22.25" customHeight="1" x14ac:dyDescent="0.2">
      <c r="A10" s="14"/>
      <c r="B10" s="502"/>
      <c r="C10" s="503"/>
      <c r="D10" s="503"/>
      <c r="E10" s="503"/>
      <c r="F10" s="503"/>
      <c r="G10" s="503"/>
      <c r="H10" s="503"/>
      <c r="I10" s="504"/>
      <c r="J10" s="15"/>
      <c r="K10" s="27" t="s">
        <v>109</v>
      </c>
      <c r="L10" s="170"/>
      <c r="M10" s="171"/>
      <c r="N10" s="172"/>
      <c r="O10" s="16"/>
    </row>
    <row r="11" spans="1:42" ht="22.25" customHeight="1" x14ac:dyDescent="0.2">
      <c r="A11" s="14"/>
      <c r="B11" s="505"/>
      <c r="C11" s="506"/>
      <c r="D11" s="506"/>
      <c r="E11" s="506"/>
      <c r="F11" s="506"/>
      <c r="G11" s="506"/>
      <c r="H11" s="506"/>
      <c r="I11" s="507"/>
      <c r="J11" s="15"/>
      <c r="K11" s="28" t="s">
        <v>110</v>
      </c>
      <c r="L11" s="173"/>
      <c r="M11" s="173"/>
      <c r="N11" s="174"/>
      <c r="O11" s="16"/>
    </row>
    <row r="12" spans="1:42" ht="22.25" customHeight="1" x14ac:dyDescent="0.2">
      <c r="A12" s="14"/>
      <c r="B12" s="505"/>
      <c r="C12" s="506"/>
      <c r="D12" s="506"/>
      <c r="E12" s="506"/>
      <c r="F12" s="506"/>
      <c r="G12" s="506"/>
      <c r="H12" s="506"/>
      <c r="I12" s="507"/>
      <c r="J12" s="15"/>
      <c r="K12" s="28" t="s">
        <v>111</v>
      </c>
      <c r="L12" s="173"/>
      <c r="M12" s="173"/>
      <c r="N12" s="174"/>
      <c r="O12" s="16"/>
    </row>
    <row r="13" spans="1:42" ht="22.25" customHeight="1" x14ac:dyDescent="0.2">
      <c r="A13" s="14"/>
      <c r="B13" s="505"/>
      <c r="C13" s="506"/>
      <c r="D13" s="506"/>
      <c r="E13" s="506"/>
      <c r="F13" s="506"/>
      <c r="G13" s="506"/>
      <c r="H13" s="506"/>
      <c r="I13" s="507"/>
      <c r="J13" s="15"/>
      <c r="K13" s="28" t="s">
        <v>112</v>
      </c>
      <c r="L13" s="173"/>
      <c r="M13" s="173"/>
      <c r="N13" s="174"/>
      <c r="O13" s="16"/>
    </row>
    <row r="14" spans="1:42" ht="22.25" customHeight="1" x14ac:dyDescent="0.2">
      <c r="A14" s="14"/>
      <c r="B14" s="505"/>
      <c r="C14" s="506"/>
      <c r="D14" s="506"/>
      <c r="E14" s="506"/>
      <c r="F14" s="506"/>
      <c r="G14" s="506"/>
      <c r="H14" s="506"/>
      <c r="I14" s="507"/>
      <c r="J14" s="15"/>
      <c r="K14" s="28" t="s">
        <v>113</v>
      </c>
      <c r="L14" s="173"/>
      <c r="M14" s="173"/>
      <c r="N14" s="174"/>
      <c r="O14" s="16"/>
    </row>
    <row r="15" spans="1:42" ht="22.25" customHeight="1" x14ac:dyDescent="0.2">
      <c r="A15" s="14"/>
      <c r="B15" s="505"/>
      <c r="C15" s="506"/>
      <c r="D15" s="506"/>
      <c r="E15" s="506"/>
      <c r="F15" s="506"/>
      <c r="G15" s="506"/>
      <c r="H15" s="506"/>
      <c r="I15" s="507"/>
      <c r="J15" s="15"/>
      <c r="K15" s="28" t="s">
        <v>114</v>
      </c>
      <c r="L15" s="173"/>
      <c r="M15" s="173"/>
      <c r="N15" s="174"/>
      <c r="O15" s="16"/>
    </row>
    <row r="16" spans="1:42" ht="22.25" customHeight="1" x14ac:dyDescent="0.2">
      <c r="A16" s="14"/>
      <c r="B16" s="505"/>
      <c r="C16" s="506"/>
      <c r="D16" s="506"/>
      <c r="E16" s="506"/>
      <c r="F16" s="506"/>
      <c r="G16" s="506"/>
      <c r="H16" s="506"/>
      <c r="I16" s="507"/>
      <c r="J16" s="15"/>
      <c r="K16" s="28" t="s">
        <v>115</v>
      </c>
      <c r="L16" s="173"/>
      <c r="M16" s="173"/>
      <c r="N16" s="174"/>
      <c r="O16" s="16"/>
    </row>
    <row r="17" spans="1:42" ht="22.25" customHeight="1" x14ac:dyDescent="0.2">
      <c r="A17" s="14"/>
      <c r="B17" s="505"/>
      <c r="C17" s="506"/>
      <c r="D17" s="506"/>
      <c r="E17" s="506"/>
      <c r="F17" s="506"/>
      <c r="G17" s="506"/>
      <c r="H17" s="506"/>
      <c r="I17" s="507"/>
      <c r="J17" s="15"/>
      <c r="K17" s="28" t="s">
        <v>116</v>
      </c>
      <c r="L17" s="173"/>
      <c r="M17" s="173"/>
      <c r="N17" s="174"/>
      <c r="O17" s="16"/>
    </row>
    <row r="18" spans="1:42" ht="22.25" customHeight="1" x14ac:dyDescent="0.2">
      <c r="A18" s="14"/>
      <c r="B18" s="505"/>
      <c r="C18" s="506"/>
      <c r="D18" s="506"/>
      <c r="E18" s="506"/>
      <c r="F18" s="506"/>
      <c r="G18" s="506"/>
      <c r="H18" s="506"/>
      <c r="I18" s="507"/>
      <c r="J18" s="15"/>
      <c r="K18" s="28" t="s">
        <v>117</v>
      </c>
      <c r="L18" s="173"/>
      <c r="M18" s="173"/>
      <c r="N18" s="174"/>
      <c r="O18" s="16"/>
    </row>
    <row r="19" spans="1:42" ht="22.25" customHeight="1" x14ac:dyDescent="0.2">
      <c r="A19" s="14"/>
      <c r="B19" s="505"/>
      <c r="C19" s="506"/>
      <c r="D19" s="506"/>
      <c r="E19" s="506"/>
      <c r="F19" s="506"/>
      <c r="G19" s="506"/>
      <c r="H19" s="506"/>
      <c r="I19" s="507"/>
      <c r="J19" s="15"/>
      <c r="K19" s="28" t="s">
        <v>118</v>
      </c>
      <c r="L19" s="173"/>
      <c r="M19" s="173"/>
      <c r="N19" s="174"/>
      <c r="O19" s="16"/>
    </row>
    <row r="20" spans="1:42" ht="22.25" customHeight="1" x14ac:dyDescent="0.2">
      <c r="A20" s="14"/>
      <c r="B20" s="505"/>
      <c r="C20" s="506"/>
      <c r="D20" s="506"/>
      <c r="E20" s="506"/>
      <c r="F20" s="506"/>
      <c r="G20" s="506"/>
      <c r="H20" s="506"/>
      <c r="I20" s="507"/>
      <c r="J20" s="15"/>
      <c r="K20" s="28" t="s">
        <v>119</v>
      </c>
      <c r="L20" s="173"/>
      <c r="M20" s="173"/>
      <c r="N20" s="174"/>
      <c r="O20" s="16"/>
    </row>
    <row r="21" spans="1:42" ht="22.25" customHeight="1" x14ac:dyDescent="0.2">
      <c r="A21" s="14"/>
      <c r="B21" s="505"/>
      <c r="C21" s="506"/>
      <c r="D21" s="506"/>
      <c r="E21" s="506"/>
      <c r="F21" s="506"/>
      <c r="G21" s="506"/>
      <c r="H21" s="506"/>
      <c r="I21" s="507"/>
      <c r="J21" s="15"/>
      <c r="K21" s="28" t="s">
        <v>120</v>
      </c>
      <c r="L21" s="173"/>
      <c r="M21" s="173"/>
      <c r="N21" s="174"/>
      <c r="O21" s="16"/>
    </row>
    <row r="22" spans="1:42" ht="22.25" customHeight="1" x14ac:dyDescent="0.2">
      <c r="A22" s="14"/>
      <c r="B22" s="505"/>
      <c r="C22" s="506"/>
      <c r="D22" s="506"/>
      <c r="E22" s="506"/>
      <c r="F22" s="506"/>
      <c r="G22" s="506"/>
      <c r="H22" s="506"/>
      <c r="I22" s="507"/>
      <c r="J22" s="15"/>
      <c r="K22" s="28" t="s">
        <v>121</v>
      </c>
      <c r="L22" s="173"/>
      <c r="M22" s="173"/>
      <c r="N22" s="174"/>
      <c r="O22" s="16"/>
    </row>
    <row r="23" spans="1:42" ht="22.25" customHeight="1" x14ac:dyDescent="0.2">
      <c r="A23" s="14"/>
      <c r="B23" s="505"/>
      <c r="C23" s="506"/>
      <c r="D23" s="506"/>
      <c r="E23" s="506"/>
      <c r="F23" s="506"/>
      <c r="G23" s="506"/>
      <c r="H23" s="506"/>
      <c r="I23" s="507"/>
      <c r="J23" s="15"/>
      <c r="K23" s="28" t="s">
        <v>122</v>
      </c>
      <c r="L23" s="173"/>
      <c r="M23" s="173"/>
      <c r="N23" s="174"/>
      <c r="O23" s="16"/>
    </row>
    <row r="24" spans="1:42" ht="22.25" customHeight="1" x14ac:dyDescent="0.2">
      <c r="A24" s="14"/>
      <c r="B24" s="505"/>
      <c r="C24" s="506"/>
      <c r="D24" s="506"/>
      <c r="E24" s="506"/>
      <c r="F24" s="506"/>
      <c r="G24" s="506"/>
      <c r="H24" s="506"/>
      <c r="I24" s="507"/>
      <c r="J24" s="15"/>
      <c r="K24" s="28" t="s">
        <v>123</v>
      </c>
      <c r="L24" s="173"/>
      <c r="M24" s="173"/>
      <c r="N24" s="174"/>
      <c r="O24" s="16"/>
    </row>
    <row r="25" spans="1:42" ht="22.25" customHeight="1" x14ac:dyDescent="0.2">
      <c r="A25" s="14"/>
      <c r="B25" s="505"/>
      <c r="C25" s="506"/>
      <c r="D25" s="506"/>
      <c r="E25" s="506"/>
      <c r="F25" s="506"/>
      <c r="G25" s="506"/>
      <c r="H25" s="506"/>
      <c r="I25" s="507"/>
      <c r="J25" s="15"/>
      <c r="K25" s="28" t="s">
        <v>124</v>
      </c>
      <c r="L25" s="173"/>
      <c r="M25" s="173"/>
      <c r="N25" s="174"/>
      <c r="O25" s="16"/>
    </row>
    <row r="26" spans="1:42" ht="22.25" customHeight="1" thickBot="1" x14ac:dyDescent="0.25">
      <c r="A26" s="14"/>
      <c r="B26" s="508"/>
      <c r="C26" s="509"/>
      <c r="D26" s="509"/>
      <c r="E26" s="509"/>
      <c r="F26" s="509"/>
      <c r="G26" s="509"/>
      <c r="H26" s="509"/>
      <c r="I26" s="510"/>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497" t="s">
        <v>134</v>
      </c>
      <c r="C28" s="498"/>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499" t="s">
        <v>137</v>
      </c>
      <c r="C29" s="500"/>
      <c r="D29" s="500"/>
      <c r="E29" s="500"/>
      <c r="F29" s="500"/>
      <c r="G29" s="500"/>
      <c r="H29" s="500"/>
      <c r="I29" s="501"/>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02"/>
      <c r="C30" s="503"/>
      <c r="D30" s="503"/>
      <c r="E30" s="503"/>
      <c r="F30" s="503"/>
      <c r="G30" s="503"/>
      <c r="H30" s="503"/>
      <c r="I30" s="504"/>
      <c r="J30" s="15"/>
      <c r="K30" s="515" t="s">
        <v>97</v>
      </c>
      <c r="L30" s="516"/>
      <c r="M30" s="519"/>
      <c r="N30" s="520"/>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05"/>
      <c r="C31" s="506"/>
      <c r="D31" s="506"/>
      <c r="E31" s="506"/>
      <c r="F31" s="506"/>
      <c r="G31" s="506"/>
      <c r="H31" s="506"/>
      <c r="I31" s="507"/>
      <c r="J31" s="15"/>
      <c r="K31" s="517"/>
      <c r="L31" s="518"/>
      <c r="M31" s="521"/>
      <c r="N31" s="522"/>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05"/>
      <c r="C32" s="506"/>
      <c r="D32" s="506"/>
      <c r="E32" s="506"/>
      <c r="F32" s="506"/>
      <c r="G32" s="506"/>
      <c r="H32" s="506"/>
      <c r="I32" s="507"/>
      <c r="J32" s="15"/>
      <c r="K32" s="517" t="s">
        <v>98</v>
      </c>
      <c r="L32" s="518"/>
      <c r="M32" s="521"/>
      <c r="N32" s="522"/>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05"/>
      <c r="C33" s="506"/>
      <c r="D33" s="506"/>
      <c r="E33" s="506"/>
      <c r="F33" s="506"/>
      <c r="G33" s="506"/>
      <c r="H33" s="506"/>
      <c r="I33" s="507"/>
      <c r="J33" s="15"/>
      <c r="K33" s="517"/>
      <c r="L33" s="518"/>
      <c r="M33" s="521"/>
      <c r="N33" s="522"/>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08"/>
      <c r="C34" s="509"/>
      <c r="D34" s="509"/>
      <c r="E34" s="509"/>
      <c r="F34" s="509"/>
      <c r="G34" s="509"/>
      <c r="H34" s="509"/>
      <c r="I34" s="510"/>
      <c r="J34" s="15"/>
      <c r="K34" s="511" t="s">
        <v>10</v>
      </c>
      <c r="L34" s="512"/>
      <c r="M34" s="513"/>
      <c r="N34" s="51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497" t="s">
        <v>223</v>
      </c>
      <c r="C36" s="498"/>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499" t="s">
        <v>231</v>
      </c>
      <c r="C37" s="500"/>
      <c r="D37" s="500"/>
      <c r="E37" s="500"/>
      <c r="F37" s="500"/>
      <c r="G37" s="500"/>
      <c r="H37" s="500"/>
      <c r="I37" s="501"/>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02"/>
      <c r="C38" s="503"/>
      <c r="D38" s="503"/>
      <c r="E38" s="503"/>
      <c r="F38" s="503"/>
      <c r="G38" s="503"/>
      <c r="H38" s="503"/>
      <c r="I38" s="504"/>
      <c r="J38" s="15"/>
      <c r="K38" s="515" t="s">
        <v>97</v>
      </c>
      <c r="L38" s="516"/>
      <c r="M38" s="519"/>
      <c r="N38" s="520"/>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05"/>
      <c r="C39" s="506"/>
      <c r="D39" s="506"/>
      <c r="E39" s="506"/>
      <c r="F39" s="506"/>
      <c r="G39" s="506"/>
      <c r="H39" s="506"/>
      <c r="I39" s="507"/>
      <c r="J39" s="15"/>
      <c r="K39" s="517"/>
      <c r="L39" s="518"/>
      <c r="M39" s="521"/>
      <c r="N39" s="522"/>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05"/>
      <c r="C40" s="506"/>
      <c r="D40" s="506"/>
      <c r="E40" s="506"/>
      <c r="F40" s="506"/>
      <c r="G40" s="506"/>
      <c r="H40" s="506"/>
      <c r="I40" s="507"/>
      <c r="J40" s="15"/>
      <c r="K40" s="517" t="s">
        <v>157</v>
      </c>
      <c r="L40" s="518"/>
      <c r="M40" s="521"/>
      <c r="N40" s="522"/>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05"/>
      <c r="C41" s="506"/>
      <c r="D41" s="506"/>
      <c r="E41" s="506"/>
      <c r="F41" s="506"/>
      <c r="G41" s="506"/>
      <c r="H41" s="506"/>
      <c r="I41" s="507"/>
      <c r="J41" s="15"/>
      <c r="K41" s="517"/>
      <c r="L41" s="518"/>
      <c r="M41" s="521"/>
      <c r="N41" s="522"/>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05"/>
      <c r="C42" s="506"/>
      <c r="D42" s="506"/>
      <c r="E42" s="506"/>
      <c r="F42" s="506"/>
      <c r="G42" s="506"/>
      <c r="H42" s="506"/>
      <c r="I42" s="507"/>
      <c r="J42" s="15"/>
      <c r="K42" s="523" t="s">
        <v>10</v>
      </c>
      <c r="L42" s="524"/>
      <c r="M42" s="525"/>
      <c r="N42" s="526"/>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05"/>
      <c r="C43" s="506"/>
      <c r="D43" s="509"/>
      <c r="E43" s="509"/>
      <c r="F43" s="509"/>
      <c r="G43" s="509"/>
      <c r="H43" s="509"/>
      <c r="I43" s="510"/>
      <c r="J43" s="15"/>
      <c r="K43" s="511" t="s">
        <v>260</v>
      </c>
      <c r="L43" s="512"/>
      <c r="M43" s="513"/>
      <c r="N43" s="51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497" t="s">
        <v>223</v>
      </c>
      <c r="C46" s="498"/>
      <c r="D46" s="24"/>
      <c r="E46" s="24"/>
      <c r="F46" s="24"/>
      <c r="G46" s="24"/>
      <c r="H46" s="24"/>
      <c r="I46" s="15"/>
      <c r="J46" s="15"/>
      <c r="K46" s="15"/>
      <c r="L46" s="24"/>
      <c r="M46" s="24"/>
      <c r="N46" s="24"/>
      <c r="O46" s="16"/>
    </row>
    <row r="47" spans="1:42" ht="51" customHeight="1" thickBot="1" x14ac:dyDescent="0.25">
      <c r="A47" s="14"/>
      <c r="B47" s="499" t="s">
        <v>230</v>
      </c>
      <c r="C47" s="500"/>
      <c r="D47" s="500"/>
      <c r="E47" s="500"/>
      <c r="F47" s="500"/>
      <c r="G47" s="500"/>
      <c r="H47" s="500"/>
      <c r="I47" s="501"/>
      <c r="J47" s="15"/>
      <c r="K47" s="15"/>
      <c r="L47" s="24"/>
      <c r="M47" s="24"/>
      <c r="N47" s="24"/>
      <c r="O47" s="16"/>
    </row>
    <row r="48" spans="1:42" ht="22.25" customHeight="1" x14ac:dyDescent="0.2">
      <c r="A48" s="14"/>
      <c r="B48" s="502"/>
      <c r="C48" s="503"/>
      <c r="D48" s="503"/>
      <c r="E48" s="503"/>
      <c r="F48" s="503"/>
      <c r="G48" s="503"/>
      <c r="H48" s="503"/>
      <c r="I48" s="504"/>
      <c r="J48" s="15"/>
      <c r="K48" s="515" t="s">
        <v>97</v>
      </c>
      <c r="L48" s="516"/>
      <c r="M48" s="519"/>
      <c r="N48" s="520"/>
      <c r="O48" s="16"/>
    </row>
    <row r="49" spans="1:15" ht="22.25" customHeight="1" x14ac:dyDescent="0.2">
      <c r="A49" s="14"/>
      <c r="B49" s="505"/>
      <c r="C49" s="506"/>
      <c r="D49" s="506"/>
      <c r="E49" s="506"/>
      <c r="F49" s="506"/>
      <c r="G49" s="506"/>
      <c r="H49" s="506"/>
      <c r="I49" s="507"/>
      <c r="J49" s="15"/>
      <c r="K49" s="517"/>
      <c r="L49" s="518"/>
      <c r="M49" s="521"/>
      <c r="N49" s="522"/>
      <c r="O49" s="16"/>
    </row>
    <row r="50" spans="1:15" ht="22.25" customHeight="1" x14ac:dyDescent="0.2">
      <c r="A50" s="14"/>
      <c r="B50" s="505"/>
      <c r="C50" s="506"/>
      <c r="D50" s="506"/>
      <c r="E50" s="506"/>
      <c r="F50" s="506"/>
      <c r="G50" s="506"/>
      <c r="H50" s="506"/>
      <c r="I50" s="507"/>
      <c r="J50" s="15"/>
      <c r="K50" s="517" t="s">
        <v>157</v>
      </c>
      <c r="L50" s="518"/>
      <c r="M50" s="521"/>
      <c r="N50" s="522"/>
      <c r="O50" s="16"/>
    </row>
    <row r="51" spans="1:15" ht="22.25" customHeight="1" x14ac:dyDescent="0.2">
      <c r="A51" s="14"/>
      <c r="B51" s="505"/>
      <c r="C51" s="506"/>
      <c r="D51" s="506"/>
      <c r="E51" s="506"/>
      <c r="F51" s="506"/>
      <c r="G51" s="506"/>
      <c r="H51" s="506"/>
      <c r="I51" s="507"/>
      <c r="J51" s="15"/>
      <c r="K51" s="517"/>
      <c r="L51" s="518"/>
      <c r="M51" s="521"/>
      <c r="N51" s="522"/>
      <c r="O51" s="16"/>
    </row>
    <row r="52" spans="1:15" ht="22.25" customHeight="1" x14ac:dyDescent="0.2">
      <c r="A52" s="14"/>
      <c r="B52" s="505"/>
      <c r="C52" s="506"/>
      <c r="D52" s="506"/>
      <c r="E52" s="506"/>
      <c r="F52" s="506"/>
      <c r="G52" s="506"/>
      <c r="H52" s="506"/>
      <c r="I52" s="507"/>
      <c r="J52" s="15"/>
      <c r="K52" s="523" t="s">
        <v>10</v>
      </c>
      <c r="L52" s="524"/>
      <c r="M52" s="525"/>
      <c r="N52" s="526"/>
      <c r="O52" s="16"/>
    </row>
    <row r="53" spans="1:15" ht="22.25" customHeight="1" thickBot="1" x14ac:dyDescent="0.25">
      <c r="A53" s="14"/>
      <c r="B53" s="508"/>
      <c r="C53" s="509"/>
      <c r="D53" s="509"/>
      <c r="E53" s="509"/>
      <c r="F53" s="509"/>
      <c r="G53" s="509"/>
      <c r="H53" s="509"/>
      <c r="I53" s="510"/>
      <c r="J53" s="15"/>
      <c r="K53" s="511" t="s">
        <v>259</v>
      </c>
      <c r="L53" s="512"/>
      <c r="M53" s="513"/>
      <c r="N53" s="51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497" t="s">
        <v>135</v>
      </c>
      <c r="C56" s="498"/>
      <c r="D56" s="24"/>
      <c r="E56" s="24"/>
      <c r="F56" s="24"/>
      <c r="G56" s="24"/>
      <c r="H56" s="24"/>
      <c r="I56" s="15"/>
      <c r="J56" s="15"/>
      <c r="K56" s="15"/>
      <c r="L56" s="24"/>
      <c r="M56" s="24"/>
      <c r="N56" s="24"/>
      <c r="O56" s="16"/>
    </row>
    <row r="57" spans="1:15" ht="36" customHeight="1" thickBot="1" x14ac:dyDescent="0.25">
      <c r="A57" s="14"/>
      <c r="B57" s="499" t="s">
        <v>156</v>
      </c>
      <c r="C57" s="500"/>
      <c r="D57" s="500"/>
      <c r="E57" s="500"/>
      <c r="F57" s="500"/>
      <c r="G57" s="500"/>
      <c r="H57" s="500"/>
      <c r="I57" s="501"/>
      <c r="J57" s="15"/>
      <c r="K57" s="15"/>
      <c r="L57" s="24"/>
      <c r="M57" s="24"/>
      <c r="N57" s="24"/>
      <c r="O57" s="16"/>
    </row>
    <row r="58" spans="1:15" ht="22.25" customHeight="1" x14ac:dyDescent="0.2">
      <c r="A58" s="14"/>
      <c r="B58" s="502"/>
      <c r="C58" s="503"/>
      <c r="D58" s="503"/>
      <c r="E58" s="503"/>
      <c r="F58" s="503"/>
      <c r="G58" s="503"/>
      <c r="H58" s="503"/>
      <c r="I58" s="504"/>
      <c r="J58" s="15"/>
      <c r="K58" s="515" t="s">
        <v>97</v>
      </c>
      <c r="L58" s="516"/>
      <c r="M58" s="519"/>
      <c r="N58" s="520"/>
      <c r="O58" s="16"/>
    </row>
    <row r="59" spans="1:15" ht="22.25" customHeight="1" x14ac:dyDescent="0.2">
      <c r="A59" s="14"/>
      <c r="B59" s="505"/>
      <c r="C59" s="506"/>
      <c r="D59" s="506"/>
      <c r="E59" s="506"/>
      <c r="F59" s="506"/>
      <c r="G59" s="506"/>
      <c r="H59" s="506"/>
      <c r="I59" s="507"/>
      <c r="J59" s="15"/>
      <c r="K59" s="517"/>
      <c r="L59" s="518"/>
      <c r="M59" s="521"/>
      <c r="N59" s="522"/>
      <c r="O59" s="16"/>
    </row>
    <row r="60" spans="1:15" ht="22.25" customHeight="1" x14ac:dyDescent="0.2">
      <c r="A60" s="14"/>
      <c r="B60" s="505"/>
      <c r="C60" s="506"/>
      <c r="D60" s="506"/>
      <c r="E60" s="506"/>
      <c r="F60" s="506"/>
      <c r="G60" s="506"/>
      <c r="H60" s="506"/>
      <c r="I60" s="507"/>
      <c r="J60" s="15"/>
      <c r="K60" s="517" t="s">
        <v>158</v>
      </c>
      <c r="L60" s="518"/>
      <c r="M60" s="521"/>
      <c r="N60" s="522"/>
      <c r="O60" s="16"/>
    </row>
    <row r="61" spans="1:15" ht="22.25" customHeight="1" x14ac:dyDescent="0.2">
      <c r="A61" s="14"/>
      <c r="B61" s="505"/>
      <c r="C61" s="506"/>
      <c r="D61" s="506"/>
      <c r="E61" s="506"/>
      <c r="F61" s="506"/>
      <c r="G61" s="506"/>
      <c r="H61" s="506"/>
      <c r="I61" s="507"/>
      <c r="J61" s="15"/>
      <c r="K61" s="517"/>
      <c r="L61" s="518"/>
      <c r="M61" s="521"/>
      <c r="N61" s="522"/>
      <c r="O61" s="16"/>
    </row>
    <row r="62" spans="1:15" ht="22.25" customHeight="1" thickBot="1" x14ac:dyDescent="0.25">
      <c r="A62" s="14"/>
      <c r="B62" s="508"/>
      <c r="C62" s="509"/>
      <c r="D62" s="509"/>
      <c r="E62" s="509"/>
      <c r="F62" s="509"/>
      <c r="G62" s="509"/>
      <c r="H62" s="509"/>
      <c r="I62" s="510"/>
      <c r="J62" s="15"/>
      <c r="K62" s="511" t="s">
        <v>10</v>
      </c>
      <c r="L62" s="512"/>
      <c r="M62" s="513"/>
      <c r="N62" s="51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0E00-000000000000}"/>
    <dataValidation type="date" operator="greaterThan" allowBlank="1" showInputMessage="1" showErrorMessage="1" promptTitle="Date" prompt="Please enter the date in the format dd mmm yyy" sqref="M34:N34 M42:N43 M52:N53 M62:N62" xr:uid="{00000000-0002-0000-0E00-000001000000}">
      <formula1>43607</formula1>
    </dataValidation>
    <dataValidation allowBlank="1" showInputMessage="1" showErrorMessage="1" promptTitle="Copy &amp; Paste from Word" prompt="To allow some splitting of text copy and paste paragraphs from Word._x000a_Double click to enable pasting." sqref="B58:I62 B48:I53 B38:I43 B30:I34" xr:uid="{00000000-0002-0000-0E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B708F453-342C-4806-ACF3-80FF5D9763F0}">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6B2293C9-64B3-42F6-B5F5-D39E5C240E30}">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F7452EA1-CC9F-4F4C-8568-374B7541114F}">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0B72BD17-1873-45C3-AE00-D6B86F1AC9B0}">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9B1F93C3-0245-4CE0-8253-02C53DD9FF39}">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B517254C-0BFF-4B84-B4E6-103122333FB0}">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05CA236D-AEA7-4EF6-BE24-F8501748CCF0}">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5DFBAE18-76DD-41C7-BDB0-3B1F50C75124}">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2E9260DF-B4C8-43D7-9891-D286E2A41DF4}">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081CAC26-4443-41A6-8FAB-4662F1CFF0C8}">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C110083C-D595-4EE5-AC2B-6A85A38C20FE}">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80985DB9-84FF-4B27-9FB2-57D676BB8076}">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4938FB27-D6EE-423D-B380-B8EFBBA6F164}">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FCAAEFA0-2C59-4645-9D25-446C08AE99DC}">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AE75542E-5BF7-4AD8-A969-23A773819E7F}">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58A87778-4C55-4527-A221-32760ACFD661}">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A742C5C3-BF28-4C5D-B3F7-9B48D156F8A1}">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F86A09DD-35EA-4546-87EF-26C274D53095}">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F00C91C9-22A3-4234-9288-1219C91BE550}">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F1489A38-8013-4E32-94B9-200E7164AB87}">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Attendance" prompt="Attendance &amp; Engagement with the programme:_x000a_Excellent (90-100%)_x000a_Satisfactory (80-90%)_x000a_Concerning (&lt;80%)" xr:uid="{00000000-0002-0000-0E00-000003000000}">
          <x14:formula1>
            <xm:f>'Drop Down Lists'!$A$38:$A$40</xm:f>
          </x14:formula1>
          <xm:sqref>G54 G44</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0E00-000004000000}">
          <x14:formula1>
            <xm:f>'Drop Down Lists'!$A$22:$A$26</xm:f>
          </x14:formula1>
          <xm:sqref>L10:L26</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0E00-000005000000}">
          <x14:formula1>
            <xm:f>'Drop Down Lists'!$A$22:$A$26</xm:f>
          </x14:formula1>
          <xm:sqref>M10:M26</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0E00-000006000000}">
          <x14:formula1>
            <xm:f>'Drop Down Lists'!$A$2:$A$3</xm:f>
          </x14:formula1>
          <xm:sqref>C44 C54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0E00-000007000000}">
          <x14:formula1>
            <xm:f>'Drop Down Lists'!$A$2:$A$3</xm:f>
          </x14:formula1>
          <xm:sqref>E44 E54</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0E00-000008000000}">
          <x14:formula1>
            <xm:f>'Drop Down Lists'!$A$2:$A$3</xm:f>
          </x14:formula1>
          <xm:sqref>I44 I54</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0E00-000009000000}">
          <x14:formula1>
            <xm:f>'Drop Down Lists'!$A$22:$A$26</xm:f>
          </x14:formula1>
          <xm:sqref>N10:N26</xm:sqref>
        </x14:dataValidation>
        <x14:dataValidation type="list" allowBlank="1" showInputMessage="1" showErrorMessage="1" promptTitle="Work Location(s)" prompt="Please select the MAIN work location(s) you have been based at during this period._x000a__x000a_N.B. Warwick University is JLR Research at Warwick" xr:uid="{00000000-0002-0000-0E00-00000A000000}">
          <x14:formula1>
            <xm:f>'Drop Down Lists'!$G$2:$G$21</xm:f>
          </x14:formula1>
          <xm:sqref>K5:N6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pageSetUpPr fitToPage="1"/>
  </sheetPr>
  <dimension ref="A1:AP168"/>
  <sheetViews>
    <sheetView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Y3 R2</v>
      </c>
      <c r="B1" s="19"/>
      <c r="C1" s="19"/>
      <c r="D1" s="19"/>
      <c r="E1" s="19"/>
      <c r="F1" s="19"/>
      <c r="G1" s="19"/>
      <c r="H1" s="19"/>
      <c r="I1" s="19"/>
      <c r="J1" s="19"/>
      <c r="K1" s="223"/>
      <c r="L1" s="529" t="s">
        <v>256</v>
      </c>
      <c r="M1" s="529"/>
      <c r="N1" s="318">
        <f ca="1">TODAY()</f>
        <v>43969</v>
      </c>
      <c r="O1" s="20"/>
    </row>
    <row r="2" spans="1:42" ht="35" x14ac:dyDescent="0.35">
      <c r="A2" s="14"/>
      <c r="B2" s="465" t="s">
        <v>319</v>
      </c>
      <c r="C2" s="465"/>
      <c r="D2" s="465"/>
      <c r="E2" s="465"/>
      <c r="F2" s="465"/>
      <c r="G2" s="465"/>
      <c r="H2" s="465"/>
      <c r="I2" s="465"/>
      <c r="J2" s="465"/>
      <c r="K2" s="465"/>
      <c r="L2" s="465"/>
      <c r="M2" s="465"/>
      <c r="N2" s="465"/>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36" t="s">
        <v>254</v>
      </c>
      <c r="L4" s="537"/>
      <c r="M4" s="537"/>
      <c r="N4" s="53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19" t="s">
        <v>211</v>
      </c>
      <c r="C5" s="421"/>
      <c r="D5" s="530" t="str">
        <f>'Front Sheet'!C5:C6</f>
        <v>Philip</v>
      </c>
      <c r="E5" s="532" t="str">
        <f>'Front Sheet'!D5:D6</f>
        <v>McGaw</v>
      </c>
      <c r="F5" s="534" t="str">
        <f>'Front Sheet'!G2</f>
        <v>pmcgaw</v>
      </c>
      <c r="G5" s="119">
        <f>'Front Sheet'!J5</f>
        <v>83137730</v>
      </c>
      <c r="H5" s="15"/>
      <c r="I5" s="25"/>
      <c r="J5" s="15"/>
      <c r="K5" s="539"/>
      <c r="L5" s="540"/>
      <c r="M5" s="540"/>
      <c r="N5" s="541"/>
      <c r="O5" s="16"/>
    </row>
    <row r="6" spans="1:42" ht="18" customHeight="1" thickBot="1" x14ac:dyDescent="0.25">
      <c r="A6" s="14"/>
      <c r="B6" s="422"/>
      <c r="C6" s="424"/>
      <c r="D6" s="531"/>
      <c r="E6" s="533"/>
      <c r="F6" s="535"/>
      <c r="G6" s="120">
        <f>'Front Sheet'!J6</f>
        <v>0</v>
      </c>
      <c r="H6" s="15"/>
      <c r="I6" s="25"/>
      <c r="J6" s="15"/>
      <c r="K6" s="542"/>
      <c r="L6" s="543"/>
      <c r="M6" s="543"/>
      <c r="N6" s="544"/>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499" t="s">
        <v>232</v>
      </c>
      <c r="C9" s="527"/>
      <c r="D9" s="527"/>
      <c r="E9" s="527"/>
      <c r="F9" s="527"/>
      <c r="G9" s="527"/>
      <c r="H9" s="527"/>
      <c r="I9" s="528"/>
      <c r="J9" s="15"/>
      <c r="K9" s="26" t="s">
        <v>136</v>
      </c>
      <c r="L9" s="89" t="s">
        <v>126</v>
      </c>
      <c r="M9" s="89" t="s">
        <v>128</v>
      </c>
      <c r="N9" s="96" t="s">
        <v>127</v>
      </c>
      <c r="O9" s="16"/>
      <c r="P9" s="165"/>
      <c r="Q9" s="165"/>
      <c r="R9" s="165"/>
      <c r="S9" s="165"/>
      <c r="T9" s="165"/>
    </row>
    <row r="10" spans="1:42" ht="22.25" customHeight="1" x14ac:dyDescent="0.2">
      <c r="A10" s="14"/>
      <c r="B10" s="502"/>
      <c r="C10" s="503"/>
      <c r="D10" s="503"/>
      <c r="E10" s="503"/>
      <c r="F10" s="503"/>
      <c r="G10" s="503"/>
      <c r="H10" s="503"/>
      <c r="I10" s="504"/>
      <c r="J10" s="15"/>
      <c r="K10" s="27" t="s">
        <v>109</v>
      </c>
      <c r="L10" s="170"/>
      <c r="M10" s="171"/>
      <c r="N10" s="172"/>
      <c r="O10" s="16"/>
    </row>
    <row r="11" spans="1:42" ht="22.25" customHeight="1" x14ac:dyDescent="0.2">
      <c r="A11" s="14"/>
      <c r="B11" s="505"/>
      <c r="C11" s="506"/>
      <c r="D11" s="506"/>
      <c r="E11" s="506"/>
      <c r="F11" s="506"/>
      <c r="G11" s="506"/>
      <c r="H11" s="506"/>
      <c r="I11" s="507"/>
      <c r="J11" s="15"/>
      <c r="K11" s="28" t="s">
        <v>110</v>
      </c>
      <c r="L11" s="173"/>
      <c r="M11" s="173"/>
      <c r="N11" s="174"/>
      <c r="O11" s="16"/>
    </row>
    <row r="12" spans="1:42" ht="22.25" customHeight="1" x14ac:dyDescent="0.2">
      <c r="A12" s="14"/>
      <c r="B12" s="505"/>
      <c r="C12" s="506"/>
      <c r="D12" s="506"/>
      <c r="E12" s="506"/>
      <c r="F12" s="506"/>
      <c r="G12" s="506"/>
      <c r="H12" s="506"/>
      <c r="I12" s="507"/>
      <c r="J12" s="15"/>
      <c r="K12" s="28" t="s">
        <v>111</v>
      </c>
      <c r="L12" s="173"/>
      <c r="M12" s="173"/>
      <c r="N12" s="174"/>
      <c r="O12" s="16"/>
    </row>
    <row r="13" spans="1:42" ht="22.25" customHeight="1" x14ac:dyDescent="0.2">
      <c r="A13" s="14"/>
      <c r="B13" s="505"/>
      <c r="C13" s="506"/>
      <c r="D13" s="506"/>
      <c r="E13" s="506"/>
      <c r="F13" s="506"/>
      <c r="G13" s="506"/>
      <c r="H13" s="506"/>
      <c r="I13" s="507"/>
      <c r="J13" s="15"/>
      <c r="K13" s="28" t="s">
        <v>112</v>
      </c>
      <c r="L13" s="173"/>
      <c r="M13" s="173"/>
      <c r="N13" s="174"/>
      <c r="O13" s="16"/>
    </row>
    <row r="14" spans="1:42" ht="22.25" customHeight="1" x14ac:dyDescent="0.2">
      <c r="A14" s="14"/>
      <c r="B14" s="505"/>
      <c r="C14" s="506"/>
      <c r="D14" s="506"/>
      <c r="E14" s="506"/>
      <c r="F14" s="506"/>
      <c r="G14" s="506"/>
      <c r="H14" s="506"/>
      <c r="I14" s="507"/>
      <c r="J14" s="15"/>
      <c r="K14" s="28" t="s">
        <v>113</v>
      </c>
      <c r="L14" s="173"/>
      <c r="M14" s="173"/>
      <c r="N14" s="174"/>
      <c r="O14" s="16"/>
    </row>
    <row r="15" spans="1:42" ht="22.25" customHeight="1" x14ac:dyDescent="0.2">
      <c r="A15" s="14"/>
      <c r="B15" s="505"/>
      <c r="C15" s="506"/>
      <c r="D15" s="506"/>
      <c r="E15" s="506"/>
      <c r="F15" s="506"/>
      <c r="G15" s="506"/>
      <c r="H15" s="506"/>
      <c r="I15" s="507"/>
      <c r="J15" s="15"/>
      <c r="K15" s="28" t="s">
        <v>114</v>
      </c>
      <c r="L15" s="173"/>
      <c r="M15" s="173"/>
      <c r="N15" s="174"/>
      <c r="O15" s="16"/>
    </row>
    <row r="16" spans="1:42" ht="22.25" customHeight="1" x14ac:dyDescent="0.2">
      <c r="A16" s="14"/>
      <c r="B16" s="505"/>
      <c r="C16" s="506"/>
      <c r="D16" s="506"/>
      <c r="E16" s="506"/>
      <c r="F16" s="506"/>
      <c r="G16" s="506"/>
      <c r="H16" s="506"/>
      <c r="I16" s="507"/>
      <c r="J16" s="15"/>
      <c r="K16" s="28" t="s">
        <v>115</v>
      </c>
      <c r="L16" s="173"/>
      <c r="M16" s="173"/>
      <c r="N16" s="174"/>
      <c r="O16" s="16"/>
    </row>
    <row r="17" spans="1:42" ht="22.25" customHeight="1" x14ac:dyDescent="0.2">
      <c r="A17" s="14"/>
      <c r="B17" s="505"/>
      <c r="C17" s="506"/>
      <c r="D17" s="506"/>
      <c r="E17" s="506"/>
      <c r="F17" s="506"/>
      <c r="G17" s="506"/>
      <c r="H17" s="506"/>
      <c r="I17" s="507"/>
      <c r="J17" s="15"/>
      <c r="K17" s="28" t="s">
        <v>116</v>
      </c>
      <c r="L17" s="173"/>
      <c r="M17" s="173"/>
      <c r="N17" s="174"/>
      <c r="O17" s="16"/>
    </row>
    <row r="18" spans="1:42" ht="22.25" customHeight="1" x14ac:dyDescent="0.2">
      <c r="A18" s="14"/>
      <c r="B18" s="505"/>
      <c r="C18" s="506"/>
      <c r="D18" s="506"/>
      <c r="E18" s="506"/>
      <c r="F18" s="506"/>
      <c r="G18" s="506"/>
      <c r="H18" s="506"/>
      <c r="I18" s="507"/>
      <c r="J18" s="15"/>
      <c r="K18" s="28" t="s">
        <v>117</v>
      </c>
      <c r="L18" s="173"/>
      <c r="M18" s="173"/>
      <c r="N18" s="174"/>
      <c r="O18" s="16"/>
    </row>
    <row r="19" spans="1:42" ht="22.25" customHeight="1" x14ac:dyDescent="0.2">
      <c r="A19" s="14"/>
      <c r="B19" s="505"/>
      <c r="C19" s="506"/>
      <c r="D19" s="506"/>
      <c r="E19" s="506"/>
      <c r="F19" s="506"/>
      <c r="G19" s="506"/>
      <c r="H19" s="506"/>
      <c r="I19" s="507"/>
      <c r="J19" s="15"/>
      <c r="K19" s="28" t="s">
        <v>118</v>
      </c>
      <c r="L19" s="173"/>
      <c r="M19" s="173"/>
      <c r="N19" s="174"/>
      <c r="O19" s="16"/>
    </row>
    <row r="20" spans="1:42" ht="22.25" customHeight="1" x14ac:dyDescent="0.2">
      <c r="A20" s="14"/>
      <c r="B20" s="505"/>
      <c r="C20" s="506"/>
      <c r="D20" s="506"/>
      <c r="E20" s="506"/>
      <c r="F20" s="506"/>
      <c r="G20" s="506"/>
      <c r="H20" s="506"/>
      <c r="I20" s="507"/>
      <c r="J20" s="15"/>
      <c r="K20" s="28" t="s">
        <v>119</v>
      </c>
      <c r="L20" s="173"/>
      <c r="M20" s="173"/>
      <c r="N20" s="174"/>
      <c r="O20" s="16"/>
    </row>
    <row r="21" spans="1:42" ht="22.25" customHeight="1" x14ac:dyDescent="0.2">
      <c r="A21" s="14"/>
      <c r="B21" s="505"/>
      <c r="C21" s="506"/>
      <c r="D21" s="506"/>
      <c r="E21" s="506"/>
      <c r="F21" s="506"/>
      <c r="G21" s="506"/>
      <c r="H21" s="506"/>
      <c r="I21" s="507"/>
      <c r="J21" s="15"/>
      <c r="K21" s="28" t="s">
        <v>120</v>
      </c>
      <c r="L21" s="173"/>
      <c r="M21" s="173"/>
      <c r="N21" s="174"/>
      <c r="O21" s="16"/>
    </row>
    <row r="22" spans="1:42" ht="22.25" customHeight="1" x14ac:dyDescent="0.2">
      <c r="A22" s="14"/>
      <c r="B22" s="505"/>
      <c r="C22" s="506"/>
      <c r="D22" s="506"/>
      <c r="E22" s="506"/>
      <c r="F22" s="506"/>
      <c r="G22" s="506"/>
      <c r="H22" s="506"/>
      <c r="I22" s="507"/>
      <c r="J22" s="15"/>
      <c r="K22" s="28" t="s">
        <v>121</v>
      </c>
      <c r="L22" s="173"/>
      <c r="M22" s="173"/>
      <c r="N22" s="174"/>
      <c r="O22" s="16"/>
    </row>
    <row r="23" spans="1:42" ht="22.25" customHeight="1" x14ac:dyDescent="0.2">
      <c r="A23" s="14"/>
      <c r="B23" s="505"/>
      <c r="C23" s="506"/>
      <c r="D23" s="506"/>
      <c r="E23" s="506"/>
      <c r="F23" s="506"/>
      <c r="G23" s="506"/>
      <c r="H23" s="506"/>
      <c r="I23" s="507"/>
      <c r="J23" s="15"/>
      <c r="K23" s="28" t="s">
        <v>122</v>
      </c>
      <c r="L23" s="173"/>
      <c r="M23" s="173"/>
      <c r="N23" s="174"/>
      <c r="O23" s="16"/>
    </row>
    <row r="24" spans="1:42" ht="22.25" customHeight="1" x14ac:dyDescent="0.2">
      <c r="A24" s="14"/>
      <c r="B24" s="505"/>
      <c r="C24" s="506"/>
      <c r="D24" s="506"/>
      <c r="E24" s="506"/>
      <c r="F24" s="506"/>
      <c r="G24" s="506"/>
      <c r="H24" s="506"/>
      <c r="I24" s="507"/>
      <c r="J24" s="15"/>
      <c r="K24" s="28" t="s">
        <v>123</v>
      </c>
      <c r="L24" s="173"/>
      <c r="M24" s="173"/>
      <c r="N24" s="174"/>
      <c r="O24" s="16"/>
    </row>
    <row r="25" spans="1:42" ht="22.25" customHeight="1" x14ac:dyDescent="0.2">
      <c r="A25" s="14"/>
      <c r="B25" s="505"/>
      <c r="C25" s="506"/>
      <c r="D25" s="506"/>
      <c r="E25" s="506"/>
      <c r="F25" s="506"/>
      <c r="G25" s="506"/>
      <c r="H25" s="506"/>
      <c r="I25" s="507"/>
      <c r="J25" s="15"/>
      <c r="K25" s="28" t="s">
        <v>124</v>
      </c>
      <c r="L25" s="173"/>
      <c r="M25" s="173"/>
      <c r="N25" s="174"/>
      <c r="O25" s="16"/>
    </row>
    <row r="26" spans="1:42" ht="22.25" customHeight="1" thickBot="1" x14ac:dyDescent="0.25">
      <c r="A26" s="14"/>
      <c r="B26" s="508"/>
      <c r="C26" s="509"/>
      <c r="D26" s="509"/>
      <c r="E26" s="509"/>
      <c r="F26" s="509"/>
      <c r="G26" s="509"/>
      <c r="H26" s="509"/>
      <c r="I26" s="510"/>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497" t="s">
        <v>134</v>
      </c>
      <c r="C28" s="498"/>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499" t="s">
        <v>137</v>
      </c>
      <c r="C29" s="500"/>
      <c r="D29" s="500"/>
      <c r="E29" s="500"/>
      <c r="F29" s="500"/>
      <c r="G29" s="500"/>
      <c r="H29" s="500"/>
      <c r="I29" s="501"/>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02"/>
      <c r="C30" s="503"/>
      <c r="D30" s="503"/>
      <c r="E30" s="503"/>
      <c r="F30" s="503"/>
      <c r="G30" s="503"/>
      <c r="H30" s="503"/>
      <c r="I30" s="504"/>
      <c r="J30" s="15"/>
      <c r="K30" s="515" t="s">
        <v>97</v>
      </c>
      <c r="L30" s="516"/>
      <c r="M30" s="519"/>
      <c r="N30" s="520"/>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05"/>
      <c r="C31" s="506"/>
      <c r="D31" s="506"/>
      <c r="E31" s="506"/>
      <c r="F31" s="506"/>
      <c r="G31" s="506"/>
      <c r="H31" s="506"/>
      <c r="I31" s="507"/>
      <c r="J31" s="15"/>
      <c r="K31" s="517"/>
      <c r="L31" s="518"/>
      <c r="M31" s="521"/>
      <c r="N31" s="522"/>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05"/>
      <c r="C32" s="506"/>
      <c r="D32" s="506"/>
      <c r="E32" s="506"/>
      <c r="F32" s="506"/>
      <c r="G32" s="506"/>
      <c r="H32" s="506"/>
      <c r="I32" s="507"/>
      <c r="J32" s="15"/>
      <c r="K32" s="517" t="s">
        <v>98</v>
      </c>
      <c r="L32" s="518"/>
      <c r="M32" s="521"/>
      <c r="N32" s="522"/>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05"/>
      <c r="C33" s="506"/>
      <c r="D33" s="506"/>
      <c r="E33" s="506"/>
      <c r="F33" s="506"/>
      <c r="G33" s="506"/>
      <c r="H33" s="506"/>
      <c r="I33" s="507"/>
      <c r="J33" s="15"/>
      <c r="K33" s="517"/>
      <c r="L33" s="518"/>
      <c r="M33" s="521"/>
      <c r="N33" s="522"/>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08"/>
      <c r="C34" s="509"/>
      <c r="D34" s="509"/>
      <c r="E34" s="509"/>
      <c r="F34" s="509"/>
      <c r="G34" s="509"/>
      <c r="H34" s="509"/>
      <c r="I34" s="510"/>
      <c r="J34" s="15"/>
      <c r="K34" s="511" t="s">
        <v>10</v>
      </c>
      <c r="L34" s="512"/>
      <c r="M34" s="513"/>
      <c r="N34" s="51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497" t="s">
        <v>223</v>
      </c>
      <c r="C36" s="498"/>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499" t="s">
        <v>231</v>
      </c>
      <c r="C37" s="500"/>
      <c r="D37" s="500"/>
      <c r="E37" s="500"/>
      <c r="F37" s="500"/>
      <c r="G37" s="500"/>
      <c r="H37" s="500"/>
      <c r="I37" s="501"/>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02"/>
      <c r="C38" s="503"/>
      <c r="D38" s="503"/>
      <c r="E38" s="503"/>
      <c r="F38" s="503"/>
      <c r="G38" s="503"/>
      <c r="H38" s="503"/>
      <c r="I38" s="504"/>
      <c r="J38" s="15"/>
      <c r="K38" s="515" t="s">
        <v>97</v>
      </c>
      <c r="L38" s="516"/>
      <c r="M38" s="519"/>
      <c r="N38" s="520"/>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05"/>
      <c r="C39" s="506"/>
      <c r="D39" s="506"/>
      <c r="E39" s="506"/>
      <c r="F39" s="506"/>
      <c r="G39" s="506"/>
      <c r="H39" s="506"/>
      <c r="I39" s="507"/>
      <c r="J39" s="15"/>
      <c r="K39" s="517"/>
      <c r="L39" s="518"/>
      <c r="M39" s="521"/>
      <c r="N39" s="522"/>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05"/>
      <c r="C40" s="506"/>
      <c r="D40" s="506"/>
      <c r="E40" s="506"/>
      <c r="F40" s="506"/>
      <c r="G40" s="506"/>
      <c r="H40" s="506"/>
      <c r="I40" s="507"/>
      <c r="J40" s="15"/>
      <c r="K40" s="517" t="s">
        <v>157</v>
      </c>
      <c r="L40" s="518"/>
      <c r="M40" s="521"/>
      <c r="N40" s="522"/>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05"/>
      <c r="C41" s="506"/>
      <c r="D41" s="506"/>
      <c r="E41" s="506"/>
      <c r="F41" s="506"/>
      <c r="G41" s="506"/>
      <c r="H41" s="506"/>
      <c r="I41" s="507"/>
      <c r="J41" s="15"/>
      <c r="K41" s="517"/>
      <c r="L41" s="518"/>
      <c r="M41" s="521"/>
      <c r="N41" s="522"/>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05"/>
      <c r="C42" s="506"/>
      <c r="D42" s="506"/>
      <c r="E42" s="506"/>
      <c r="F42" s="506"/>
      <c r="G42" s="506"/>
      <c r="H42" s="506"/>
      <c r="I42" s="507"/>
      <c r="J42" s="15"/>
      <c r="K42" s="523" t="s">
        <v>10</v>
      </c>
      <c r="L42" s="524"/>
      <c r="M42" s="525"/>
      <c r="N42" s="526"/>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05"/>
      <c r="C43" s="506"/>
      <c r="D43" s="509"/>
      <c r="E43" s="509"/>
      <c r="F43" s="509"/>
      <c r="G43" s="509"/>
      <c r="H43" s="509"/>
      <c r="I43" s="510"/>
      <c r="J43" s="15"/>
      <c r="K43" s="511" t="s">
        <v>260</v>
      </c>
      <c r="L43" s="512"/>
      <c r="M43" s="513"/>
      <c r="N43" s="51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497" t="s">
        <v>223</v>
      </c>
      <c r="C46" s="498"/>
      <c r="D46" s="24"/>
      <c r="E46" s="24"/>
      <c r="F46" s="24"/>
      <c r="G46" s="24"/>
      <c r="H46" s="24"/>
      <c r="I46" s="15"/>
      <c r="J46" s="15"/>
      <c r="K46" s="15"/>
      <c r="L46" s="24"/>
      <c r="M46" s="24"/>
      <c r="N46" s="24"/>
      <c r="O46" s="16"/>
    </row>
    <row r="47" spans="1:42" ht="51" customHeight="1" thickBot="1" x14ac:dyDescent="0.25">
      <c r="A47" s="14"/>
      <c r="B47" s="499" t="s">
        <v>230</v>
      </c>
      <c r="C47" s="500"/>
      <c r="D47" s="500"/>
      <c r="E47" s="500"/>
      <c r="F47" s="500"/>
      <c r="G47" s="500"/>
      <c r="H47" s="500"/>
      <c r="I47" s="501"/>
      <c r="J47" s="15"/>
      <c r="K47" s="15"/>
      <c r="L47" s="24"/>
      <c r="M47" s="24"/>
      <c r="N47" s="24"/>
      <c r="O47" s="16"/>
    </row>
    <row r="48" spans="1:42" ht="22.25" customHeight="1" x14ac:dyDescent="0.2">
      <c r="A48" s="14"/>
      <c r="B48" s="502"/>
      <c r="C48" s="503"/>
      <c r="D48" s="503"/>
      <c r="E48" s="503"/>
      <c r="F48" s="503"/>
      <c r="G48" s="503"/>
      <c r="H48" s="503"/>
      <c r="I48" s="504"/>
      <c r="J48" s="15"/>
      <c r="K48" s="515" t="s">
        <v>97</v>
      </c>
      <c r="L48" s="516"/>
      <c r="M48" s="519"/>
      <c r="N48" s="520"/>
      <c r="O48" s="16"/>
    </row>
    <row r="49" spans="1:15" ht="22.25" customHeight="1" x14ac:dyDescent="0.2">
      <c r="A49" s="14"/>
      <c r="B49" s="505"/>
      <c r="C49" s="506"/>
      <c r="D49" s="506"/>
      <c r="E49" s="506"/>
      <c r="F49" s="506"/>
      <c r="G49" s="506"/>
      <c r="H49" s="506"/>
      <c r="I49" s="507"/>
      <c r="J49" s="15"/>
      <c r="K49" s="517"/>
      <c r="L49" s="518"/>
      <c r="M49" s="521"/>
      <c r="N49" s="522"/>
      <c r="O49" s="16"/>
    </row>
    <row r="50" spans="1:15" ht="22.25" customHeight="1" x14ac:dyDescent="0.2">
      <c r="A50" s="14"/>
      <c r="B50" s="505"/>
      <c r="C50" s="506"/>
      <c r="D50" s="506"/>
      <c r="E50" s="506"/>
      <c r="F50" s="506"/>
      <c r="G50" s="506"/>
      <c r="H50" s="506"/>
      <c r="I50" s="507"/>
      <c r="J50" s="15"/>
      <c r="K50" s="517" t="s">
        <v>157</v>
      </c>
      <c r="L50" s="518"/>
      <c r="M50" s="521"/>
      <c r="N50" s="522"/>
      <c r="O50" s="16"/>
    </row>
    <row r="51" spans="1:15" ht="22.25" customHeight="1" x14ac:dyDescent="0.2">
      <c r="A51" s="14"/>
      <c r="B51" s="505"/>
      <c r="C51" s="506"/>
      <c r="D51" s="506"/>
      <c r="E51" s="506"/>
      <c r="F51" s="506"/>
      <c r="G51" s="506"/>
      <c r="H51" s="506"/>
      <c r="I51" s="507"/>
      <c r="J51" s="15"/>
      <c r="K51" s="517"/>
      <c r="L51" s="518"/>
      <c r="M51" s="521"/>
      <c r="N51" s="522"/>
      <c r="O51" s="16"/>
    </row>
    <row r="52" spans="1:15" ht="22.25" customHeight="1" x14ac:dyDescent="0.2">
      <c r="A52" s="14"/>
      <c r="B52" s="505"/>
      <c r="C52" s="506"/>
      <c r="D52" s="506"/>
      <c r="E52" s="506"/>
      <c r="F52" s="506"/>
      <c r="G52" s="506"/>
      <c r="H52" s="506"/>
      <c r="I52" s="507"/>
      <c r="J52" s="15"/>
      <c r="K52" s="523" t="s">
        <v>10</v>
      </c>
      <c r="L52" s="524"/>
      <c r="M52" s="525"/>
      <c r="N52" s="526"/>
      <c r="O52" s="16"/>
    </row>
    <row r="53" spans="1:15" ht="22.25" customHeight="1" thickBot="1" x14ac:dyDescent="0.25">
      <c r="A53" s="14"/>
      <c r="B53" s="508"/>
      <c r="C53" s="509"/>
      <c r="D53" s="509"/>
      <c r="E53" s="509"/>
      <c r="F53" s="509"/>
      <c r="G53" s="509"/>
      <c r="H53" s="509"/>
      <c r="I53" s="510"/>
      <c r="J53" s="15"/>
      <c r="K53" s="511" t="s">
        <v>259</v>
      </c>
      <c r="L53" s="512"/>
      <c r="M53" s="513"/>
      <c r="N53" s="51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497" t="s">
        <v>135</v>
      </c>
      <c r="C56" s="498"/>
      <c r="D56" s="24"/>
      <c r="E56" s="24"/>
      <c r="F56" s="24"/>
      <c r="G56" s="24"/>
      <c r="H56" s="24"/>
      <c r="I56" s="15"/>
      <c r="J56" s="15"/>
      <c r="K56" s="15"/>
      <c r="L56" s="24"/>
      <c r="M56" s="24"/>
      <c r="N56" s="24"/>
      <c r="O56" s="16"/>
    </row>
    <row r="57" spans="1:15" ht="36" customHeight="1" thickBot="1" x14ac:dyDescent="0.25">
      <c r="A57" s="14"/>
      <c r="B57" s="499" t="s">
        <v>156</v>
      </c>
      <c r="C57" s="500"/>
      <c r="D57" s="500"/>
      <c r="E57" s="500"/>
      <c r="F57" s="500"/>
      <c r="G57" s="500"/>
      <c r="H57" s="500"/>
      <c r="I57" s="501"/>
      <c r="J57" s="15"/>
      <c r="K57" s="15"/>
      <c r="L57" s="24"/>
      <c r="M57" s="24"/>
      <c r="N57" s="24"/>
      <c r="O57" s="16"/>
    </row>
    <row r="58" spans="1:15" ht="22.25" customHeight="1" x14ac:dyDescent="0.2">
      <c r="A58" s="14"/>
      <c r="B58" s="502"/>
      <c r="C58" s="503"/>
      <c r="D58" s="503"/>
      <c r="E58" s="503"/>
      <c r="F58" s="503"/>
      <c r="G58" s="503"/>
      <c r="H58" s="503"/>
      <c r="I58" s="504"/>
      <c r="J58" s="15"/>
      <c r="K58" s="515" t="s">
        <v>97</v>
      </c>
      <c r="L58" s="516"/>
      <c r="M58" s="519"/>
      <c r="N58" s="520"/>
      <c r="O58" s="16"/>
    </row>
    <row r="59" spans="1:15" ht="22.25" customHeight="1" x14ac:dyDescent="0.2">
      <c r="A59" s="14"/>
      <c r="B59" s="505"/>
      <c r="C59" s="506"/>
      <c r="D59" s="506"/>
      <c r="E59" s="506"/>
      <c r="F59" s="506"/>
      <c r="G59" s="506"/>
      <c r="H59" s="506"/>
      <c r="I59" s="507"/>
      <c r="J59" s="15"/>
      <c r="K59" s="517"/>
      <c r="L59" s="518"/>
      <c r="M59" s="521"/>
      <c r="N59" s="522"/>
      <c r="O59" s="16"/>
    </row>
    <row r="60" spans="1:15" ht="22.25" customHeight="1" x14ac:dyDescent="0.2">
      <c r="A60" s="14"/>
      <c r="B60" s="505"/>
      <c r="C60" s="506"/>
      <c r="D60" s="506"/>
      <c r="E60" s="506"/>
      <c r="F60" s="506"/>
      <c r="G60" s="506"/>
      <c r="H60" s="506"/>
      <c r="I60" s="507"/>
      <c r="J60" s="15"/>
      <c r="K60" s="517" t="s">
        <v>158</v>
      </c>
      <c r="L60" s="518"/>
      <c r="M60" s="521"/>
      <c r="N60" s="522"/>
      <c r="O60" s="16"/>
    </row>
    <row r="61" spans="1:15" ht="22.25" customHeight="1" x14ac:dyDescent="0.2">
      <c r="A61" s="14"/>
      <c r="B61" s="505"/>
      <c r="C61" s="506"/>
      <c r="D61" s="506"/>
      <c r="E61" s="506"/>
      <c r="F61" s="506"/>
      <c r="G61" s="506"/>
      <c r="H61" s="506"/>
      <c r="I61" s="507"/>
      <c r="J61" s="15"/>
      <c r="K61" s="517"/>
      <c r="L61" s="518"/>
      <c r="M61" s="521"/>
      <c r="N61" s="522"/>
      <c r="O61" s="16"/>
    </row>
    <row r="62" spans="1:15" ht="22.25" customHeight="1" thickBot="1" x14ac:dyDescent="0.25">
      <c r="A62" s="14"/>
      <c r="B62" s="508"/>
      <c r="C62" s="509"/>
      <c r="D62" s="509"/>
      <c r="E62" s="509"/>
      <c r="F62" s="509"/>
      <c r="G62" s="509"/>
      <c r="H62" s="509"/>
      <c r="I62" s="510"/>
      <c r="J62" s="15"/>
      <c r="K62" s="511" t="s">
        <v>10</v>
      </c>
      <c r="L62" s="512"/>
      <c r="M62" s="513"/>
      <c r="N62" s="51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from Word" prompt="To allow some splitting of text copy and paste paragraphs from Word._x000a_Double click to enable pasting." sqref="B58:I62 B48:I53 B38:I43 B30:I34" xr:uid="{00000000-0002-0000-0F00-000000000000}"/>
    <dataValidation type="date" operator="greaterThan" allowBlank="1" showInputMessage="1" showErrorMessage="1" promptTitle="Date" prompt="Please enter the date in the format dd mmm yyy" sqref="M34:N34 M42:N43 M52:N53 M62:N62" xr:uid="{00000000-0002-0000-0F00-000001000000}">
      <formula1>43607</formula1>
    </dataValidation>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0F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F7B4960D-8FE4-45E0-A041-4E7FB445925D}">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4CD22A3C-A2FB-4563-B496-4FF5E0F2DD73}">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19F4D4A2-F93D-4A25-8CA7-F456B99B2188}">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3B71902A-611C-499B-A174-4A766A7A0C99}">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8B3A9483-8E93-4650-A806-2D64A1DC1ADF}">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8923C118-FFCC-42C3-968A-127F7A144E0D}">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34C79D87-30C4-47B2-8183-97CB8D894266}">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3667002C-3BF7-4F5A-8F6E-8FF3B29DDB8A}">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9EF3524D-BC1A-43D2-BE18-81530E31395C}">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90AC78D3-A9F6-41DC-B333-61DB4CDA1619}">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A36D395B-9A6D-4AA2-9DDB-6DA45D5BF134}">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ABA2B1FA-E486-42CF-84DC-748E1FD0A282}">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DF02291D-2DE7-466C-A6D0-3524A4E9F59E}">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4905EBFE-F4A0-463B-AE78-8A47FD557206}">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7954E4E2-866D-4CAB-90EA-8C4DAA771AC0}">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EECCEB8D-29BA-4662-B433-A520D2B91EAE}">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6404C436-AC40-4B58-BF8B-BFAC77E6E42E}">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407AE95B-D06A-495E-A58E-68FDC4184A96}">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5C25D8F8-0617-4460-8F32-3F55A90BF1B2}">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2573F82C-14C6-4CCE-A148-E720B3BA6257}">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Work Location(s)" prompt="Please select the MAIN work location(s) you have been based at during this period._x000a__x000a_N.B. Warwick University is JLR Research at Warwick" xr:uid="{00000000-0002-0000-0F00-000003000000}">
          <x14:formula1>
            <xm:f>'Drop Down Lists'!$G$2:$G$21</xm:f>
          </x14:formula1>
          <xm:sqref>K5:N6</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0F00-000004000000}">
          <x14:formula1>
            <xm:f>'Drop Down Lists'!$A$22:$A$26</xm:f>
          </x14:formula1>
          <xm:sqref>N10:N26</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0F00-000005000000}">
          <x14:formula1>
            <xm:f>'Drop Down Lists'!$A$2:$A$3</xm:f>
          </x14:formula1>
          <xm:sqref>I44 I54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0F00-000006000000}">
          <x14:formula1>
            <xm:f>'Drop Down Lists'!$A$2:$A$3</xm:f>
          </x14:formula1>
          <xm:sqref>E44 E54</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0F00-000007000000}">
          <x14:formula1>
            <xm:f>'Drop Down Lists'!$A$2:$A$3</xm:f>
          </x14:formula1>
          <xm:sqref>C44 C54</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0F00-000008000000}">
          <x14:formula1>
            <xm:f>'Drop Down Lists'!$A$22:$A$26</xm:f>
          </x14:formula1>
          <xm:sqref>M10:M26</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0F00-000009000000}">
          <x14:formula1>
            <xm:f>'Drop Down Lists'!$A$22:$A$26</xm:f>
          </x14:formula1>
          <xm:sqref>L10:L26</xm:sqref>
        </x14:dataValidation>
        <x14:dataValidation type="list" allowBlank="1" showInputMessage="1" showErrorMessage="1" promptTitle="Attendance" prompt="Attendance &amp; Engagement with the programme:_x000a_Excellent (90-100%)_x000a_Satisfactory (80-90%)_x000a_Concerning (&lt;80%)" xr:uid="{00000000-0002-0000-0F00-00000A000000}">
          <x14:formula1>
            <xm:f>'Drop Down Lists'!$A$38:$A$40</xm:f>
          </x14:formula1>
          <xm:sqref>G54 G44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pageSetUpPr fitToPage="1"/>
  </sheetPr>
  <dimension ref="A1:AP168"/>
  <sheetViews>
    <sheetView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Y3 R3</v>
      </c>
      <c r="B1" s="19"/>
      <c r="C1" s="19"/>
      <c r="D1" s="19"/>
      <c r="E1" s="19"/>
      <c r="F1" s="19"/>
      <c r="G1" s="19"/>
      <c r="H1" s="19"/>
      <c r="I1" s="19"/>
      <c r="J1" s="19"/>
      <c r="K1" s="223"/>
      <c r="L1" s="529" t="s">
        <v>256</v>
      </c>
      <c r="M1" s="529"/>
      <c r="N1" s="318">
        <f ca="1">TODAY()</f>
        <v>43969</v>
      </c>
      <c r="O1" s="20"/>
    </row>
    <row r="2" spans="1:42" ht="35" x14ac:dyDescent="0.35">
      <c r="A2" s="14"/>
      <c r="B2" s="465" t="s">
        <v>320</v>
      </c>
      <c r="C2" s="465"/>
      <c r="D2" s="465"/>
      <c r="E2" s="465"/>
      <c r="F2" s="465"/>
      <c r="G2" s="465"/>
      <c r="H2" s="465"/>
      <c r="I2" s="465"/>
      <c r="J2" s="465"/>
      <c r="K2" s="465"/>
      <c r="L2" s="465"/>
      <c r="M2" s="465"/>
      <c r="N2" s="465"/>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36" t="s">
        <v>254</v>
      </c>
      <c r="L4" s="537"/>
      <c r="M4" s="537"/>
      <c r="N4" s="53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19" t="s">
        <v>211</v>
      </c>
      <c r="C5" s="421"/>
      <c r="D5" s="530" t="str">
        <f>'Front Sheet'!C5:C6</f>
        <v>Philip</v>
      </c>
      <c r="E5" s="532" t="str">
        <f>'Front Sheet'!D5:D6</f>
        <v>McGaw</v>
      </c>
      <c r="F5" s="534" t="str">
        <f>'Front Sheet'!G2</f>
        <v>pmcgaw</v>
      </c>
      <c r="G5" s="119">
        <f>'Front Sheet'!J5</f>
        <v>83137730</v>
      </c>
      <c r="H5" s="15"/>
      <c r="I5" s="25"/>
      <c r="J5" s="15"/>
      <c r="K5" s="539"/>
      <c r="L5" s="540"/>
      <c r="M5" s="540"/>
      <c r="N5" s="541"/>
      <c r="O5" s="16"/>
    </row>
    <row r="6" spans="1:42" ht="18" customHeight="1" thickBot="1" x14ac:dyDescent="0.25">
      <c r="A6" s="14"/>
      <c r="B6" s="422"/>
      <c r="C6" s="424"/>
      <c r="D6" s="531"/>
      <c r="E6" s="533"/>
      <c r="F6" s="535"/>
      <c r="G6" s="120">
        <f>'Front Sheet'!J6</f>
        <v>0</v>
      </c>
      <c r="H6" s="15"/>
      <c r="I6" s="25"/>
      <c r="J6" s="15"/>
      <c r="K6" s="542"/>
      <c r="L6" s="543"/>
      <c r="M6" s="543"/>
      <c r="N6" s="544"/>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499" t="s">
        <v>232</v>
      </c>
      <c r="C9" s="527"/>
      <c r="D9" s="527"/>
      <c r="E9" s="527"/>
      <c r="F9" s="527"/>
      <c r="G9" s="527"/>
      <c r="H9" s="527"/>
      <c r="I9" s="528"/>
      <c r="J9" s="15"/>
      <c r="K9" s="26" t="s">
        <v>136</v>
      </c>
      <c r="L9" s="89" t="s">
        <v>126</v>
      </c>
      <c r="M9" s="89" t="s">
        <v>128</v>
      </c>
      <c r="N9" s="96" t="s">
        <v>127</v>
      </c>
      <c r="O9" s="16"/>
      <c r="P9" s="165"/>
      <c r="Q9" s="165"/>
      <c r="R9" s="165"/>
      <c r="S9" s="165"/>
      <c r="T9" s="165"/>
    </row>
    <row r="10" spans="1:42" ht="22.25" customHeight="1" x14ac:dyDescent="0.2">
      <c r="A10" s="14"/>
      <c r="B10" s="502"/>
      <c r="C10" s="503"/>
      <c r="D10" s="503"/>
      <c r="E10" s="503"/>
      <c r="F10" s="503"/>
      <c r="G10" s="503"/>
      <c r="H10" s="503"/>
      <c r="I10" s="504"/>
      <c r="J10" s="15"/>
      <c r="K10" s="27" t="s">
        <v>109</v>
      </c>
      <c r="L10" s="170"/>
      <c r="M10" s="171"/>
      <c r="N10" s="172"/>
      <c r="O10" s="16"/>
    </row>
    <row r="11" spans="1:42" ht="22.25" customHeight="1" x14ac:dyDescent="0.2">
      <c r="A11" s="14"/>
      <c r="B11" s="505"/>
      <c r="C11" s="506"/>
      <c r="D11" s="506"/>
      <c r="E11" s="506"/>
      <c r="F11" s="506"/>
      <c r="G11" s="506"/>
      <c r="H11" s="506"/>
      <c r="I11" s="507"/>
      <c r="J11" s="15"/>
      <c r="K11" s="28" t="s">
        <v>110</v>
      </c>
      <c r="L11" s="173"/>
      <c r="M11" s="173"/>
      <c r="N11" s="174"/>
      <c r="O11" s="16"/>
    </row>
    <row r="12" spans="1:42" ht="22.25" customHeight="1" x14ac:dyDescent="0.2">
      <c r="A12" s="14"/>
      <c r="B12" s="505"/>
      <c r="C12" s="506"/>
      <c r="D12" s="506"/>
      <c r="E12" s="506"/>
      <c r="F12" s="506"/>
      <c r="G12" s="506"/>
      <c r="H12" s="506"/>
      <c r="I12" s="507"/>
      <c r="J12" s="15"/>
      <c r="K12" s="28" t="s">
        <v>111</v>
      </c>
      <c r="L12" s="173"/>
      <c r="M12" s="173"/>
      <c r="N12" s="174"/>
      <c r="O12" s="16"/>
    </row>
    <row r="13" spans="1:42" ht="22.25" customHeight="1" x14ac:dyDescent="0.2">
      <c r="A13" s="14"/>
      <c r="B13" s="505"/>
      <c r="C13" s="506"/>
      <c r="D13" s="506"/>
      <c r="E13" s="506"/>
      <c r="F13" s="506"/>
      <c r="G13" s="506"/>
      <c r="H13" s="506"/>
      <c r="I13" s="507"/>
      <c r="J13" s="15"/>
      <c r="K13" s="28" t="s">
        <v>112</v>
      </c>
      <c r="L13" s="173"/>
      <c r="M13" s="173"/>
      <c r="N13" s="174"/>
      <c r="O13" s="16"/>
    </row>
    <row r="14" spans="1:42" ht="22.25" customHeight="1" x14ac:dyDescent="0.2">
      <c r="A14" s="14"/>
      <c r="B14" s="505"/>
      <c r="C14" s="506"/>
      <c r="D14" s="506"/>
      <c r="E14" s="506"/>
      <c r="F14" s="506"/>
      <c r="G14" s="506"/>
      <c r="H14" s="506"/>
      <c r="I14" s="507"/>
      <c r="J14" s="15"/>
      <c r="K14" s="28" t="s">
        <v>113</v>
      </c>
      <c r="L14" s="173"/>
      <c r="M14" s="173"/>
      <c r="N14" s="174"/>
      <c r="O14" s="16"/>
    </row>
    <row r="15" spans="1:42" ht="22.25" customHeight="1" x14ac:dyDescent="0.2">
      <c r="A15" s="14"/>
      <c r="B15" s="505"/>
      <c r="C15" s="506"/>
      <c r="D15" s="506"/>
      <c r="E15" s="506"/>
      <c r="F15" s="506"/>
      <c r="G15" s="506"/>
      <c r="H15" s="506"/>
      <c r="I15" s="507"/>
      <c r="J15" s="15"/>
      <c r="K15" s="28" t="s">
        <v>114</v>
      </c>
      <c r="L15" s="173"/>
      <c r="M15" s="173"/>
      <c r="N15" s="174"/>
      <c r="O15" s="16"/>
    </row>
    <row r="16" spans="1:42" ht="22.25" customHeight="1" x14ac:dyDescent="0.2">
      <c r="A16" s="14"/>
      <c r="B16" s="505"/>
      <c r="C16" s="506"/>
      <c r="D16" s="506"/>
      <c r="E16" s="506"/>
      <c r="F16" s="506"/>
      <c r="G16" s="506"/>
      <c r="H16" s="506"/>
      <c r="I16" s="507"/>
      <c r="J16" s="15"/>
      <c r="K16" s="28" t="s">
        <v>115</v>
      </c>
      <c r="L16" s="173"/>
      <c r="M16" s="173"/>
      <c r="N16" s="174"/>
      <c r="O16" s="16"/>
    </row>
    <row r="17" spans="1:42" ht="22.25" customHeight="1" x14ac:dyDescent="0.2">
      <c r="A17" s="14"/>
      <c r="B17" s="505"/>
      <c r="C17" s="506"/>
      <c r="D17" s="506"/>
      <c r="E17" s="506"/>
      <c r="F17" s="506"/>
      <c r="G17" s="506"/>
      <c r="H17" s="506"/>
      <c r="I17" s="507"/>
      <c r="J17" s="15"/>
      <c r="K17" s="28" t="s">
        <v>116</v>
      </c>
      <c r="L17" s="173"/>
      <c r="M17" s="173"/>
      <c r="N17" s="174"/>
      <c r="O17" s="16"/>
    </row>
    <row r="18" spans="1:42" ht="22.25" customHeight="1" x14ac:dyDescent="0.2">
      <c r="A18" s="14"/>
      <c r="B18" s="505"/>
      <c r="C18" s="506"/>
      <c r="D18" s="506"/>
      <c r="E18" s="506"/>
      <c r="F18" s="506"/>
      <c r="G18" s="506"/>
      <c r="H18" s="506"/>
      <c r="I18" s="507"/>
      <c r="J18" s="15"/>
      <c r="K18" s="28" t="s">
        <v>117</v>
      </c>
      <c r="L18" s="173"/>
      <c r="M18" s="173"/>
      <c r="N18" s="174"/>
      <c r="O18" s="16"/>
    </row>
    <row r="19" spans="1:42" ht="22.25" customHeight="1" x14ac:dyDescent="0.2">
      <c r="A19" s="14"/>
      <c r="B19" s="505"/>
      <c r="C19" s="506"/>
      <c r="D19" s="506"/>
      <c r="E19" s="506"/>
      <c r="F19" s="506"/>
      <c r="G19" s="506"/>
      <c r="H19" s="506"/>
      <c r="I19" s="507"/>
      <c r="J19" s="15"/>
      <c r="K19" s="28" t="s">
        <v>118</v>
      </c>
      <c r="L19" s="173"/>
      <c r="M19" s="173"/>
      <c r="N19" s="174"/>
      <c r="O19" s="16"/>
    </row>
    <row r="20" spans="1:42" ht="22.25" customHeight="1" x14ac:dyDescent="0.2">
      <c r="A20" s="14"/>
      <c r="B20" s="505"/>
      <c r="C20" s="506"/>
      <c r="D20" s="506"/>
      <c r="E20" s="506"/>
      <c r="F20" s="506"/>
      <c r="G20" s="506"/>
      <c r="H20" s="506"/>
      <c r="I20" s="507"/>
      <c r="J20" s="15"/>
      <c r="K20" s="28" t="s">
        <v>119</v>
      </c>
      <c r="L20" s="173"/>
      <c r="M20" s="173"/>
      <c r="N20" s="174"/>
      <c r="O20" s="16"/>
    </row>
    <row r="21" spans="1:42" ht="22.25" customHeight="1" x14ac:dyDescent="0.2">
      <c r="A21" s="14"/>
      <c r="B21" s="505"/>
      <c r="C21" s="506"/>
      <c r="D21" s="506"/>
      <c r="E21" s="506"/>
      <c r="F21" s="506"/>
      <c r="G21" s="506"/>
      <c r="H21" s="506"/>
      <c r="I21" s="507"/>
      <c r="J21" s="15"/>
      <c r="K21" s="28" t="s">
        <v>120</v>
      </c>
      <c r="L21" s="173"/>
      <c r="M21" s="173"/>
      <c r="N21" s="174"/>
      <c r="O21" s="16"/>
    </row>
    <row r="22" spans="1:42" ht="22.25" customHeight="1" x14ac:dyDescent="0.2">
      <c r="A22" s="14"/>
      <c r="B22" s="505"/>
      <c r="C22" s="506"/>
      <c r="D22" s="506"/>
      <c r="E22" s="506"/>
      <c r="F22" s="506"/>
      <c r="G22" s="506"/>
      <c r="H22" s="506"/>
      <c r="I22" s="507"/>
      <c r="J22" s="15"/>
      <c r="K22" s="28" t="s">
        <v>121</v>
      </c>
      <c r="L22" s="173"/>
      <c r="M22" s="173"/>
      <c r="N22" s="174"/>
      <c r="O22" s="16"/>
    </row>
    <row r="23" spans="1:42" ht="22.25" customHeight="1" x14ac:dyDescent="0.2">
      <c r="A23" s="14"/>
      <c r="B23" s="505"/>
      <c r="C23" s="506"/>
      <c r="D23" s="506"/>
      <c r="E23" s="506"/>
      <c r="F23" s="506"/>
      <c r="G23" s="506"/>
      <c r="H23" s="506"/>
      <c r="I23" s="507"/>
      <c r="J23" s="15"/>
      <c r="K23" s="28" t="s">
        <v>122</v>
      </c>
      <c r="L23" s="173"/>
      <c r="M23" s="173"/>
      <c r="N23" s="174"/>
      <c r="O23" s="16"/>
    </row>
    <row r="24" spans="1:42" ht="22.25" customHeight="1" x14ac:dyDescent="0.2">
      <c r="A24" s="14"/>
      <c r="B24" s="505"/>
      <c r="C24" s="506"/>
      <c r="D24" s="506"/>
      <c r="E24" s="506"/>
      <c r="F24" s="506"/>
      <c r="G24" s="506"/>
      <c r="H24" s="506"/>
      <c r="I24" s="507"/>
      <c r="J24" s="15"/>
      <c r="K24" s="28" t="s">
        <v>123</v>
      </c>
      <c r="L24" s="173"/>
      <c r="M24" s="173"/>
      <c r="N24" s="174"/>
      <c r="O24" s="16"/>
    </row>
    <row r="25" spans="1:42" ht="22.25" customHeight="1" x14ac:dyDescent="0.2">
      <c r="A25" s="14"/>
      <c r="B25" s="505"/>
      <c r="C25" s="506"/>
      <c r="D25" s="506"/>
      <c r="E25" s="506"/>
      <c r="F25" s="506"/>
      <c r="G25" s="506"/>
      <c r="H25" s="506"/>
      <c r="I25" s="507"/>
      <c r="J25" s="15"/>
      <c r="K25" s="28" t="s">
        <v>124</v>
      </c>
      <c r="L25" s="173"/>
      <c r="M25" s="173"/>
      <c r="N25" s="174"/>
      <c r="O25" s="16"/>
    </row>
    <row r="26" spans="1:42" ht="22.25" customHeight="1" thickBot="1" x14ac:dyDescent="0.25">
      <c r="A26" s="14"/>
      <c r="B26" s="508"/>
      <c r="C26" s="509"/>
      <c r="D26" s="509"/>
      <c r="E26" s="509"/>
      <c r="F26" s="509"/>
      <c r="G26" s="509"/>
      <c r="H26" s="509"/>
      <c r="I26" s="510"/>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497" t="s">
        <v>134</v>
      </c>
      <c r="C28" s="498"/>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499" t="s">
        <v>137</v>
      </c>
      <c r="C29" s="500"/>
      <c r="D29" s="500"/>
      <c r="E29" s="500"/>
      <c r="F29" s="500"/>
      <c r="G29" s="500"/>
      <c r="H29" s="500"/>
      <c r="I29" s="501"/>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02"/>
      <c r="C30" s="503"/>
      <c r="D30" s="503"/>
      <c r="E30" s="503"/>
      <c r="F30" s="503"/>
      <c r="G30" s="503"/>
      <c r="H30" s="503"/>
      <c r="I30" s="504"/>
      <c r="J30" s="15"/>
      <c r="K30" s="515" t="s">
        <v>97</v>
      </c>
      <c r="L30" s="516"/>
      <c r="M30" s="519"/>
      <c r="N30" s="520"/>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05"/>
      <c r="C31" s="506"/>
      <c r="D31" s="506"/>
      <c r="E31" s="506"/>
      <c r="F31" s="506"/>
      <c r="G31" s="506"/>
      <c r="H31" s="506"/>
      <c r="I31" s="507"/>
      <c r="J31" s="15"/>
      <c r="K31" s="517"/>
      <c r="L31" s="518"/>
      <c r="M31" s="521"/>
      <c r="N31" s="522"/>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05"/>
      <c r="C32" s="506"/>
      <c r="D32" s="506"/>
      <c r="E32" s="506"/>
      <c r="F32" s="506"/>
      <c r="G32" s="506"/>
      <c r="H32" s="506"/>
      <c r="I32" s="507"/>
      <c r="J32" s="15"/>
      <c r="K32" s="517" t="s">
        <v>98</v>
      </c>
      <c r="L32" s="518"/>
      <c r="M32" s="521"/>
      <c r="N32" s="522"/>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05"/>
      <c r="C33" s="506"/>
      <c r="D33" s="506"/>
      <c r="E33" s="506"/>
      <c r="F33" s="506"/>
      <c r="G33" s="506"/>
      <c r="H33" s="506"/>
      <c r="I33" s="507"/>
      <c r="J33" s="15"/>
      <c r="K33" s="517"/>
      <c r="L33" s="518"/>
      <c r="M33" s="521"/>
      <c r="N33" s="522"/>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08"/>
      <c r="C34" s="509"/>
      <c r="D34" s="509"/>
      <c r="E34" s="509"/>
      <c r="F34" s="509"/>
      <c r="G34" s="509"/>
      <c r="H34" s="509"/>
      <c r="I34" s="510"/>
      <c r="J34" s="15"/>
      <c r="K34" s="511" t="s">
        <v>10</v>
      </c>
      <c r="L34" s="512"/>
      <c r="M34" s="513"/>
      <c r="N34" s="51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497" t="s">
        <v>223</v>
      </c>
      <c r="C36" s="498"/>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499" t="s">
        <v>231</v>
      </c>
      <c r="C37" s="500"/>
      <c r="D37" s="500"/>
      <c r="E37" s="500"/>
      <c r="F37" s="500"/>
      <c r="G37" s="500"/>
      <c r="H37" s="500"/>
      <c r="I37" s="501"/>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02"/>
      <c r="C38" s="503"/>
      <c r="D38" s="503"/>
      <c r="E38" s="503"/>
      <c r="F38" s="503"/>
      <c r="G38" s="503"/>
      <c r="H38" s="503"/>
      <c r="I38" s="504"/>
      <c r="J38" s="15"/>
      <c r="K38" s="515" t="s">
        <v>97</v>
      </c>
      <c r="L38" s="516"/>
      <c r="M38" s="519"/>
      <c r="N38" s="520"/>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05"/>
      <c r="C39" s="506"/>
      <c r="D39" s="506"/>
      <c r="E39" s="506"/>
      <c r="F39" s="506"/>
      <c r="G39" s="506"/>
      <c r="H39" s="506"/>
      <c r="I39" s="507"/>
      <c r="J39" s="15"/>
      <c r="K39" s="517"/>
      <c r="L39" s="518"/>
      <c r="M39" s="521"/>
      <c r="N39" s="522"/>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05"/>
      <c r="C40" s="506"/>
      <c r="D40" s="506"/>
      <c r="E40" s="506"/>
      <c r="F40" s="506"/>
      <c r="G40" s="506"/>
      <c r="H40" s="506"/>
      <c r="I40" s="507"/>
      <c r="J40" s="15"/>
      <c r="K40" s="517" t="s">
        <v>157</v>
      </c>
      <c r="L40" s="518"/>
      <c r="M40" s="521"/>
      <c r="N40" s="522"/>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05"/>
      <c r="C41" s="506"/>
      <c r="D41" s="506"/>
      <c r="E41" s="506"/>
      <c r="F41" s="506"/>
      <c r="G41" s="506"/>
      <c r="H41" s="506"/>
      <c r="I41" s="507"/>
      <c r="J41" s="15"/>
      <c r="K41" s="517"/>
      <c r="L41" s="518"/>
      <c r="M41" s="521"/>
      <c r="N41" s="522"/>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05"/>
      <c r="C42" s="506"/>
      <c r="D42" s="506"/>
      <c r="E42" s="506"/>
      <c r="F42" s="506"/>
      <c r="G42" s="506"/>
      <c r="H42" s="506"/>
      <c r="I42" s="507"/>
      <c r="J42" s="15"/>
      <c r="K42" s="523" t="s">
        <v>10</v>
      </c>
      <c r="L42" s="524"/>
      <c r="M42" s="525"/>
      <c r="N42" s="526"/>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05"/>
      <c r="C43" s="506"/>
      <c r="D43" s="509"/>
      <c r="E43" s="509"/>
      <c r="F43" s="509"/>
      <c r="G43" s="509"/>
      <c r="H43" s="509"/>
      <c r="I43" s="510"/>
      <c r="J43" s="15"/>
      <c r="K43" s="511" t="s">
        <v>260</v>
      </c>
      <c r="L43" s="512"/>
      <c r="M43" s="513"/>
      <c r="N43" s="51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497" t="s">
        <v>223</v>
      </c>
      <c r="C46" s="498"/>
      <c r="D46" s="24"/>
      <c r="E46" s="24"/>
      <c r="F46" s="24"/>
      <c r="G46" s="24"/>
      <c r="H46" s="24"/>
      <c r="I46" s="15"/>
      <c r="J46" s="15"/>
      <c r="K46" s="15"/>
      <c r="L46" s="24"/>
      <c r="M46" s="24"/>
      <c r="N46" s="24"/>
      <c r="O46" s="16"/>
    </row>
    <row r="47" spans="1:42" ht="51" customHeight="1" thickBot="1" x14ac:dyDescent="0.25">
      <c r="A47" s="14"/>
      <c r="B47" s="499" t="s">
        <v>230</v>
      </c>
      <c r="C47" s="500"/>
      <c r="D47" s="500"/>
      <c r="E47" s="500"/>
      <c r="F47" s="500"/>
      <c r="G47" s="500"/>
      <c r="H47" s="500"/>
      <c r="I47" s="501"/>
      <c r="J47" s="15"/>
      <c r="K47" s="15"/>
      <c r="L47" s="24"/>
      <c r="M47" s="24"/>
      <c r="N47" s="24"/>
      <c r="O47" s="16"/>
    </row>
    <row r="48" spans="1:42" ht="22.25" customHeight="1" x14ac:dyDescent="0.2">
      <c r="A48" s="14"/>
      <c r="B48" s="502"/>
      <c r="C48" s="503"/>
      <c r="D48" s="503"/>
      <c r="E48" s="503"/>
      <c r="F48" s="503"/>
      <c r="G48" s="503"/>
      <c r="H48" s="503"/>
      <c r="I48" s="504"/>
      <c r="J48" s="15"/>
      <c r="K48" s="515" t="s">
        <v>97</v>
      </c>
      <c r="L48" s="516"/>
      <c r="M48" s="519"/>
      <c r="N48" s="520"/>
      <c r="O48" s="16"/>
    </row>
    <row r="49" spans="1:15" ht="22.25" customHeight="1" x14ac:dyDescent="0.2">
      <c r="A49" s="14"/>
      <c r="B49" s="505"/>
      <c r="C49" s="506"/>
      <c r="D49" s="506"/>
      <c r="E49" s="506"/>
      <c r="F49" s="506"/>
      <c r="G49" s="506"/>
      <c r="H49" s="506"/>
      <c r="I49" s="507"/>
      <c r="J49" s="15"/>
      <c r="K49" s="517"/>
      <c r="L49" s="518"/>
      <c r="M49" s="521"/>
      <c r="N49" s="522"/>
      <c r="O49" s="16"/>
    </row>
    <row r="50" spans="1:15" ht="22.25" customHeight="1" x14ac:dyDescent="0.2">
      <c r="A50" s="14"/>
      <c r="B50" s="505"/>
      <c r="C50" s="506"/>
      <c r="D50" s="506"/>
      <c r="E50" s="506"/>
      <c r="F50" s="506"/>
      <c r="G50" s="506"/>
      <c r="H50" s="506"/>
      <c r="I50" s="507"/>
      <c r="J50" s="15"/>
      <c r="K50" s="517" t="s">
        <v>157</v>
      </c>
      <c r="L50" s="518"/>
      <c r="M50" s="521"/>
      <c r="N50" s="522"/>
      <c r="O50" s="16"/>
    </row>
    <row r="51" spans="1:15" ht="22.25" customHeight="1" x14ac:dyDescent="0.2">
      <c r="A51" s="14"/>
      <c r="B51" s="505"/>
      <c r="C51" s="506"/>
      <c r="D51" s="506"/>
      <c r="E51" s="506"/>
      <c r="F51" s="506"/>
      <c r="G51" s="506"/>
      <c r="H51" s="506"/>
      <c r="I51" s="507"/>
      <c r="J51" s="15"/>
      <c r="K51" s="517"/>
      <c r="L51" s="518"/>
      <c r="M51" s="521"/>
      <c r="N51" s="522"/>
      <c r="O51" s="16"/>
    </row>
    <row r="52" spans="1:15" ht="22.25" customHeight="1" x14ac:dyDescent="0.2">
      <c r="A52" s="14"/>
      <c r="B52" s="505"/>
      <c r="C52" s="506"/>
      <c r="D52" s="506"/>
      <c r="E52" s="506"/>
      <c r="F52" s="506"/>
      <c r="G52" s="506"/>
      <c r="H52" s="506"/>
      <c r="I52" s="507"/>
      <c r="J52" s="15"/>
      <c r="K52" s="523" t="s">
        <v>10</v>
      </c>
      <c r="L52" s="524"/>
      <c r="M52" s="525"/>
      <c r="N52" s="526"/>
      <c r="O52" s="16"/>
    </row>
    <row r="53" spans="1:15" ht="22.25" customHeight="1" thickBot="1" x14ac:dyDescent="0.25">
      <c r="A53" s="14"/>
      <c r="B53" s="508"/>
      <c r="C53" s="509"/>
      <c r="D53" s="509"/>
      <c r="E53" s="509"/>
      <c r="F53" s="509"/>
      <c r="G53" s="509"/>
      <c r="H53" s="509"/>
      <c r="I53" s="510"/>
      <c r="J53" s="15"/>
      <c r="K53" s="511" t="s">
        <v>259</v>
      </c>
      <c r="L53" s="512"/>
      <c r="M53" s="513"/>
      <c r="N53" s="51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497" t="s">
        <v>135</v>
      </c>
      <c r="C56" s="498"/>
      <c r="D56" s="24"/>
      <c r="E56" s="24"/>
      <c r="F56" s="24"/>
      <c r="G56" s="24"/>
      <c r="H56" s="24"/>
      <c r="I56" s="15"/>
      <c r="J56" s="15"/>
      <c r="K56" s="15"/>
      <c r="L56" s="24"/>
      <c r="M56" s="24"/>
      <c r="N56" s="24"/>
      <c r="O56" s="16"/>
    </row>
    <row r="57" spans="1:15" ht="36" customHeight="1" thickBot="1" x14ac:dyDescent="0.25">
      <c r="A57" s="14"/>
      <c r="B57" s="499" t="s">
        <v>156</v>
      </c>
      <c r="C57" s="500"/>
      <c r="D57" s="500"/>
      <c r="E57" s="500"/>
      <c r="F57" s="500"/>
      <c r="G57" s="500"/>
      <c r="H57" s="500"/>
      <c r="I57" s="501"/>
      <c r="J57" s="15"/>
      <c r="K57" s="15"/>
      <c r="L57" s="24"/>
      <c r="M57" s="24"/>
      <c r="N57" s="24"/>
      <c r="O57" s="16"/>
    </row>
    <row r="58" spans="1:15" ht="22.25" customHeight="1" x14ac:dyDescent="0.2">
      <c r="A58" s="14"/>
      <c r="B58" s="502"/>
      <c r="C58" s="503"/>
      <c r="D58" s="503"/>
      <c r="E58" s="503"/>
      <c r="F58" s="503"/>
      <c r="G58" s="503"/>
      <c r="H58" s="503"/>
      <c r="I58" s="504"/>
      <c r="J58" s="15"/>
      <c r="K58" s="515" t="s">
        <v>97</v>
      </c>
      <c r="L58" s="516"/>
      <c r="M58" s="519"/>
      <c r="N58" s="520"/>
      <c r="O58" s="16"/>
    </row>
    <row r="59" spans="1:15" ht="22.25" customHeight="1" x14ac:dyDescent="0.2">
      <c r="A59" s="14"/>
      <c r="B59" s="505"/>
      <c r="C59" s="506"/>
      <c r="D59" s="506"/>
      <c r="E59" s="506"/>
      <c r="F59" s="506"/>
      <c r="G59" s="506"/>
      <c r="H59" s="506"/>
      <c r="I59" s="507"/>
      <c r="J59" s="15"/>
      <c r="K59" s="517"/>
      <c r="L59" s="518"/>
      <c r="M59" s="521"/>
      <c r="N59" s="522"/>
      <c r="O59" s="16"/>
    </row>
    <row r="60" spans="1:15" ht="22.25" customHeight="1" x14ac:dyDescent="0.2">
      <c r="A60" s="14"/>
      <c r="B60" s="505"/>
      <c r="C60" s="506"/>
      <c r="D60" s="506"/>
      <c r="E60" s="506"/>
      <c r="F60" s="506"/>
      <c r="G60" s="506"/>
      <c r="H60" s="506"/>
      <c r="I60" s="507"/>
      <c r="J60" s="15"/>
      <c r="K60" s="517" t="s">
        <v>158</v>
      </c>
      <c r="L60" s="518"/>
      <c r="M60" s="521"/>
      <c r="N60" s="522"/>
      <c r="O60" s="16"/>
    </row>
    <row r="61" spans="1:15" ht="22.25" customHeight="1" x14ac:dyDescent="0.2">
      <c r="A61" s="14"/>
      <c r="B61" s="505"/>
      <c r="C61" s="506"/>
      <c r="D61" s="506"/>
      <c r="E61" s="506"/>
      <c r="F61" s="506"/>
      <c r="G61" s="506"/>
      <c r="H61" s="506"/>
      <c r="I61" s="507"/>
      <c r="J61" s="15"/>
      <c r="K61" s="517"/>
      <c r="L61" s="518"/>
      <c r="M61" s="521"/>
      <c r="N61" s="522"/>
      <c r="O61" s="16"/>
    </row>
    <row r="62" spans="1:15" ht="22.25" customHeight="1" thickBot="1" x14ac:dyDescent="0.25">
      <c r="A62" s="14"/>
      <c r="B62" s="508"/>
      <c r="C62" s="509"/>
      <c r="D62" s="509"/>
      <c r="E62" s="509"/>
      <c r="F62" s="509"/>
      <c r="G62" s="509"/>
      <c r="H62" s="509"/>
      <c r="I62" s="510"/>
      <c r="J62" s="15"/>
      <c r="K62" s="511" t="s">
        <v>10</v>
      </c>
      <c r="L62" s="512"/>
      <c r="M62" s="513"/>
      <c r="N62" s="51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1000-000000000000}"/>
    <dataValidation type="date" operator="greaterThan" allowBlank="1" showInputMessage="1" showErrorMessage="1" promptTitle="Date" prompt="Please enter the date in the format dd mmm yyy" sqref="M34:N34 M42:N43 M52:N53 M62:N62" xr:uid="{00000000-0002-0000-1000-000001000000}">
      <formula1>43607</formula1>
    </dataValidation>
    <dataValidation allowBlank="1" showInputMessage="1" showErrorMessage="1" promptTitle="Copy &amp; Paste from Word" prompt="To allow some splitting of text copy and paste paragraphs from Word._x000a_Double click to enable pasting." sqref="B58:I62 B48:I53 B38:I43 B30:I34" xr:uid="{00000000-0002-0000-10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E2025D4F-603E-45B1-B0F8-95D72C147265}">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C8CE1657-909D-4E06-8666-2F81306FEEE5}">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E9183517-6DD0-46CE-9031-35114838B2F0}">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79A60BDE-78D7-49BB-9112-8126E2495659}">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5813177D-511F-4020-9F90-778399977C0E}">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420F708A-CA02-49F2-BDED-0E33725428B3}">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42C11823-2F48-425A-8B02-38A2DEDB5FDA}">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168A8D57-ECD6-4A51-BD54-E4A1D14B78E0}">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238B331B-D9FE-4BC3-9720-7DFFD2BCC71C}">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853CC2DD-18B2-4DA8-BD14-2AFEDB946951}">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A5E6B2EA-C8B6-42AD-B395-19959FAE82DF}">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6FFA63EB-73AF-4225-9F29-1E0237E4E9FC}">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B714374B-F2AB-47AE-8D96-5FC405D4733A}">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85DECF6F-CE1F-480B-BAF1-740DAD88F4FC}">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61DBBE7B-3AC7-45E2-B1A3-B1F066565631}">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8633AE6F-9F77-449C-896A-45CA22588626}">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05DE939F-ADFB-4C1D-853B-16D3317152FA}">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659C7186-76DA-43DE-8FBA-3B81E8A3F92B}">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59173A9C-A581-42CB-BD72-62B415BDD867}">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580A6176-C28D-472A-BD39-959CAC87C596}">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Attendance" prompt="Attendance &amp; Engagement with the programme:_x000a_Excellent (90-100%)_x000a_Satisfactory (80-90%)_x000a_Concerning (&lt;80%)" xr:uid="{00000000-0002-0000-1000-000003000000}">
          <x14:formula1>
            <xm:f>'Drop Down Lists'!$A$38:$A$40</xm:f>
          </x14:formula1>
          <xm:sqref>G54 G44</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1000-000004000000}">
          <x14:formula1>
            <xm:f>'Drop Down Lists'!$A$22:$A$26</xm:f>
          </x14:formula1>
          <xm:sqref>L10:L26</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1000-000005000000}">
          <x14:formula1>
            <xm:f>'Drop Down Lists'!$A$22:$A$26</xm:f>
          </x14:formula1>
          <xm:sqref>M10:M26</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1000-000006000000}">
          <x14:formula1>
            <xm:f>'Drop Down Lists'!$A$2:$A$3</xm:f>
          </x14:formula1>
          <xm:sqref>C44 C54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1000-000007000000}">
          <x14:formula1>
            <xm:f>'Drop Down Lists'!$A$2:$A$3</xm:f>
          </x14:formula1>
          <xm:sqref>E44 E54</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1000-000008000000}">
          <x14:formula1>
            <xm:f>'Drop Down Lists'!$A$2:$A$3</xm:f>
          </x14:formula1>
          <xm:sqref>I44 I54</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1000-000009000000}">
          <x14:formula1>
            <xm:f>'Drop Down Lists'!$A$22:$A$26</xm:f>
          </x14:formula1>
          <xm:sqref>N10:N26</xm:sqref>
        </x14:dataValidation>
        <x14:dataValidation type="list" allowBlank="1" showInputMessage="1" showErrorMessage="1" promptTitle="Work Location(s)" prompt="Please select the MAIN work location(s) you have been based at during this period._x000a__x000a_N.B. Warwick University is JLR Research at Warwick" xr:uid="{00000000-0002-0000-1000-00000A000000}">
          <x14:formula1>
            <xm:f>'Drop Down Lists'!$G$2:$G$21</xm:f>
          </x14:formula1>
          <xm:sqref>K5:N6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pageSetUpPr fitToPage="1"/>
  </sheetPr>
  <dimension ref="A1:AP168"/>
  <sheetViews>
    <sheetView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Y3 R4</v>
      </c>
      <c r="B1" s="19"/>
      <c r="C1" s="19"/>
      <c r="D1" s="19"/>
      <c r="E1" s="19"/>
      <c r="F1" s="19"/>
      <c r="G1" s="19"/>
      <c r="H1" s="19"/>
      <c r="I1" s="19"/>
      <c r="J1" s="19"/>
      <c r="K1" s="223"/>
      <c r="L1" s="529" t="s">
        <v>256</v>
      </c>
      <c r="M1" s="529"/>
      <c r="N1" s="318">
        <f ca="1">TODAY()</f>
        <v>43969</v>
      </c>
      <c r="O1" s="20"/>
    </row>
    <row r="2" spans="1:42" ht="35" x14ac:dyDescent="0.35">
      <c r="A2" s="14"/>
      <c r="B2" s="465" t="s">
        <v>321</v>
      </c>
      <c r="C2" s="465"/>
      <c r="D2" s="465"/>
      <c r="E2" s="465"/>
      <c r="F2" s="465"/>
      <c r="G2" s="465"/>
      <c r="H2" s="465"/>
      <c r="I2" s="465"/>
      <c r="J2" s="465"/>
      <c r="K2" s="465"/>
      <c r="L2" s="465"/>
      <c r="M2" s="465"/>
      <c r="N2" s="465"/>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36" t="s">
        <v>254</v>
      </c>
      <c r="L4" s="537"/>
      <c r="M4" s="537"/>
      <c r="N4" s="53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19" t="s">
        <v>211</v>
      </c>
      <c r="C5" s="421"/>
      <c r="D5" s="530" t="str">
        <f>'Front Sheet'!C5:C6</f>
        <v>Philip</v>
      </c>
      <c r="E5" s="532" t="str">
        <f>'Front Sheet'!D5:D6</f>
        <v>McGaw</v>
      </c>
      <c r="F5" s="534" t="str">
        <f>'Front Sheet'!G2</f>
        <v>pmcgaw</v>
      </c>
      <c r="G5" s="119">
        <f>'Front Sheet'!J5</f>
        <v>83137730</v>
      </c>
      <c r="H5" s="15"/>
      <c r="I5" s="25"/>
      <c r="J5" s="15"/>
      <c r="K5" s="539"/>
      <c r="L5" s="540"/>
      <c r="M5" s="540"/>
      <c r="N5" s="541"/>
      <c r="O5" s="16"/>
    </row>
    <row r="6" spans="1:42" ht="18" customHeight="1" thickBot="1" x14ac:dyDescent="0.25">
      <c r="A6" s="14"/>
      <c r="B6" s="422"/>
      <c r="C6" s="424"/>
      <c r="D6" s="531"/>
      <c r="E6" s="533"/>
      <c r="F6" s="535"/>
      <c r="G6" s="120">
        <f>'Front Sheet'!J6</f>
        <v>0</v>
      </c>
      <c r="H6" s="15"/>
      <c r="I6" s="25"/>
      <c r="J6" s="15"/>
      <c r="K6" s="542"/>
      <c r="L6" s="543"/>
      <c r="M6" s="543"/>
      <c r="N6" s="544"/>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499" t="s">
        <v>232</v>
      </c>
      <c r="C9" s="527"/>
      <c r="D9" s="527"/>
      <c r="E9" s="527"/>
      <c r="F9" s="527"/>
      <c r="G9" s="527"/>
      <c r="H9" s="527"/>
      <c r="I9" s="528"/>
      <c r="J9" s="15"/>
      <c r="K9" s="26" t="s">
        <v>136</v>
      </c>
      <c r="L9" s="89" t="s">
        <v>126</v>
      </c>
      <c r="M9" s="89" t="s">
        <v>128</v>
      </c>
      <c r="N9" s="96" t="s">
        <v>127</v>
      </c>
      <c r="O9" s="16"/>
      <c r="P9" s="165"/>
      <c r="Q9" s="165"/>
      <c r="R9" s="165"/>
      <c r="S9" s="165"/>
      <c r="T9" s="165"/>
    </row>
    <row r="10" spans="1:42" ht="22.25" customHeight="1" x14ac:dyDescent="0.2">
      <c r="A10" s="14"/>
      <c r="B10" s="502"/>
      <c r="C10" s="503"/>
      <c r="D10" s="503"/>
      <c r="E10" s="503"/>
      <c r="F10" s="503"/>
      <c r="G10" s="503"/>
      <c r="H10" s="503"/>
      <c r="I10" s="504"/>
      <c r="J10" s="15"/>
      <c r="K10" s="27" t="s">
        <v>109</v>
      </c>
      <c r="L10" s="170"/>
      <c r="M10" s="171"/>
      <c r="N10" s="172"/>
      <c r="O10" s="16"/>
    </row>
    <row r="11" spans="1:42" ht="22.25" customHeight="1" x14ac:dyDescent="0.2">
      <c r="A11" s="14"/>
      <c r="B11" s="505"/>
      <c r="C11" s="506"/>
      <c r="D11" s="506"/>
      <c r="E11" s="506"/>
      <c r="F11" s="506"/>
      <c r="G11" s="506"/>
      <c r="H11" s="506"/>
      <c r="I11" s="507"/>
      <c r="J11" s="15"/>
      <c r="K11" s="28" t="s">
        <v>110</v>
      </c>
      <c r="L11" s="173"/>
      <c r="M11" s="173"/>
      <c r="N11" s="174"/>
      <c r="O11" s="16"/>
    </row>
    <row r="12" spans="1:42" ht="22.25" customHeight="1" x14ac:dyDescent="0.2">
      <c r="A12" s="14"/>
      <c r="B12" s="505"/>
      <c r="C12" s="506"/>
      <c r="D12" s="506"/>
      <c r="E12" s="506"/>
      <c r="F12" s="506"/>
      <c r="G12" s="506"/>
      <c r="H12" s="506"/>
      <c r="I12" s="507"/>
      <c r="J12" s="15"/>
      <c r="K12" s="28" t="s">
        <v>111</v>
      </c>
      <c r="L12" s="173"/>
      <c r="M12" s="173"/>
      <c r="N12" s="174"/>
      <c r="O12" s="16"/>
    </row>
    <row r="13" spans="1:42" ht="22.25" customHeight="1" x14ac:dyDescent="0.2">
      <c r="A13" s="14"/>
      <c r="B13" s="505"/>
      <c r="C13" s="506"/>
      <c r="D13" s="506"/>
      <c r="E13" s="506"/>
      <c r="F13" s="506"/>
      <c r="G13" s="506"/>
      <c r="H13" s="506"/>
      <c r="I13" s="507"/>
      <c r="J13" s="15"/>
      <c r="K13" s="28" t="s">
        <v>112</v>
      </c>
      <c r="L13" s="173"/>
      <c r="M13" s="173"/>
      <c r="N13" s="174"/>
      <c r="O13" s="16"/>
    </row>
    <row r="14" spans="1:42" ht="22.25" customHeight="1" x14ac:dyDescent="0.2">
      <c r="A14" s="14"/>
      <c r="B14" s="505"/>
      <c r="C14" s="506"/>
      <c r="D14" s="506"/>
      <c r="E14" s="506"/>
      <c r="F14" s="506"/>
      <c r="G14" s="506"/>
      <c r="H14" s="506"/>
      <c r="I14" s="507"/>
      <c r="J14" s="15"/>
      <c r="K14" s="28" t="s">
        <v>113</v>
      </c>
      <c r="L14" s="173"/>
      <c r="M14" s="173"/>
      <c r="N14" s="174"/>
      <c r="O14" s="16"/>
    </row>
    <row r="15" spans="1:42" ht="22.25" customHeight="1" x14ac:dyDescent="0.2">
      <c r="A15" s="14"/>
      <c r="B15" s="505"/>
      <c r="C15" s="506"/>
      <c r="D15" s="506"/>
      <c r="E15" s="506"/>
      <c r="F15" s="506"/>
      <c r="G15" s="506"/>
      <c r="H15" s="506"/>
      <c r="I15" s="507"/>
      <c r="J15" s="15"/>
      <c r="K15" s="28" t="s">
        <v>114</v>
      </c>
      <c r="L15" s="173"/>
      <c r="M15" s="173"/>
      <c r="N15" s="174"/>
      <c r="O15" s="16"/>
    </row>
    <row r="16" spans="1:42" ht="22.25" customHeight="1" x14ac:dyDescent="0.2">
      <c r="A16" s="14"/>
      <c r="B16" s="505"/>
      <c r="C16" s="506"/>
      <c r="D16" s="506"/>
      <c r="E16" s="506"/>
      <c r="F16" s="506"/>
      <c r="G16" s="506"/>
      <c r="H16" s="506"/>
      <c r="I16" s="507"/>
      <c r="J16" s="15"/>
      <c r="K16" s="28" t="s">
        <v>115</v>
      </c>
      <c r="L16" s="173"/>
      <c r="M16" s="173"/>
      <c r="N16" s="174"/>
      <c r="O16" s="16"/>
    </row>
    <row r="17" spans="1:42" ht="22.25" customHeight="1" x14ac:dyDescent="0.2">
      <c r="A17" s="14"/>
      <c r="B17" s="505"/>
      <c r="C17" s="506"/>
      <c r="D17" s="506"/>
      <c r="E17" s="506"/>
      <c r="F17" s="506"/>
      <c r="G17" s="506"/>
      <c r="H17" s="506"/>
      <c r="I17" s="507"/>
      <c r="J17" s="15"/>
      <c r="K17" s="28" t="s">
        <v>116</v>
      </c>
      <c r="L17" s="173"/>
      <c r="M17" s="173"/>
      <c r="N17" s="174"/>
      <c r="O17" s="16"/>
    </row>
    <row r="18" spans="1:42" ht="22.25" customHeight="1" x14ac:dyDescent="0.2">
      <c r="A18" s="14"/>
      <c r="B18" s="505"/>
      <c r="C18" s="506"/>
      <c r="D18" s="506"/>
      <c r="E18" s="506"/>
      <c r="F18" s="506"/>
      <c r="G18" s="506"/>
      <c r="H18" s="506"/>
      <c r="I18" s="507"/>
      <c r="J18" s="15"/>
      <c r="K18" s="28" t="s">
        <v>117</v>
      </c>
      <c r="L18" s="173"/>
      <c r="M18" s="173"/>
      <c r="N18" s="174"/>
      <c r="O18" s="16"/>
    </row>
    <row r="19" spans="1:42" ht="22.25" customHeight="1" x14ac:dyDescent="0.2">
      <c r="A19" s="14"/>
      <c r="B19" s="505"/>
      <c r="C19" s="506"/>
      <c r="D19" s="506"/>
      <c r="E19" s="506"/>
      <c r="F19" s="506"/>
      <c r="G19" s="506"/>
      <c r="H19" s="506"/>
      <c r="I19" s="507"/>
      <c r="J19" s="15"/>
      <c r="K19" s="28" t="s">
        <v>118</v>
      </c>
      <c r="L19" s="173"/>
      <c r="M19" s="173"/>
      <c r="N19" s="174"/>
      <c r="O19" s="16"/>
    </row>
    <row r="20" spans="1:42" ht="22.25" customHeight="1" x14ac:dyDescent="0.2">
      <c r="A20" s="14"/>
      <c r="B20" s="505"/>
      <c r="C20" s="506"/>
      <c r="D20" s="506"/>
      <c r="E20" s="506"/>
      <c r="F20" s="506"/>
      <c r="G20" s="506"/>
      <c r="H20" s="506"/>
      <c r="I20" s="507"/>
      <c r="J20" s="15"/>
      <c r="K20" s="28" t="s">
        <v>119</v>
      </c>
      <c r="L20" s="173"/>
      <c r="M20" s="173"/>
      <c r="N20" s="174"/>
      <c r="O20" s="16"/>
    </row>
    <row r="21" spans="1:42" ht="22.25" customHeight="1" x14ac:dyDescent="0.2">
      <c r="A21" s="14"/>
      <c r="B21" s="505"/>
      <c r="C21" s="506"/>
      <c r="D21" s="506"/>
      <c r="E21" s="506"/>
      <c r="F21" s="506"/>
      <c r="G21" s="506"/>
      <c r="H21" s="506"/>
      <c r="I21" s="507"/>
      <c r="J21" s="15"/>
      <c r="K21" s="28" t="s">
        <v>120</v>
      </c>
      <c r="L21" s="173"/>
      <c r="M21" s="173"/>
      <c r="N21" s="174"/>
      <c r="O21" s="16"/>
    </row>
    <row r="22" spans="1:42" ht="22.25" customHeight="1" x14ac:dyDescent="0.2">
      <c r="A22" s="14"/>
      <c r="B22" s="505"/>
      <c r="C22" s="506"/>
      <c r="D22" s="506"/>
      <c r="E22" s="506"/>
      <c r="F22" s="506"/>
      <c r="G22" s="506"/>
      <c r="H22" s="506"/>
      <c r="I22" s="507"/>
      <c r="J22" s="15"/>
      <c r="K22" s="28" t="s">
        <v>121</v>
      </c>
      <c r="L22" s="173"/>
      <c r="M22" s="173"/>
      <c r="N22" s="174"/>
      <c r="O22" s="16"/>
    </row>
    <row r="23" spans="1:42" ht="22.25" customHeight="1" x14ac:dyDescent="0.2">
      <c r="A23" s="14"/>
      <c r="B23" s="505"/>
      <c r="C23" s="506"/>
      <c r="D23" s="506"/>
      <c r="E23" s="506"/>
      <c r="F23" s="506"/>
      <c r="G23" s="506"/>
      <c r="H23" s="506"/>
      <c r="I23" s="507"/>
      <c r="J23" s="15"/>
      <c r="K23" s="28" t="s">
        <v>122</v>
      </c>
      <c r="L23" s="173"/>
      <c r="M23" s="173"/>
      <c r="N23" s="174"/>
      <c r="O23" s="16"/>
    </row>
    <row r="24" spans="1:42" ht="22.25" customHeight="1" x14ac:dyDescent="0.2">
      <c r="A24" s="14"/>
      <c r="B24" s="505"/>
      <c r="C24" s="506"/>
      <c r="D24" s="506"/>
      <c r="E24" s="506"/>
      <c r="F24" s="506"/>
      <c r="G24" s="506"/>
      <c r="H24" s="506"/>
      <c r="I24" s="507"/>
      <c r="J24" s="15"/>
      <c r="K24" s="28" t="s">
        <v>123</v>
      </c>
      <c r="L24" s="173"/>
      <c r="M24" s="173"/>
      <c r="N24" s="174"/>
      <c r="O24" s="16"/>
    </row>
    <row r="25" spans="1:42" ht="22.25" customHeight="1" x14ac:dyDescent="0.2">
      <c r="A25" s="14"/>
      <c r="B25" s="505"/>
      <c r="C25" s="506"/>
      <c r="D25" s="506"/>
      <c r="E25" s="506"/>
      <c r="F25" s="506"/>
      <c r="G25" s="506"/>
      <c r="H25" s="506"/>
      <c r="I25" s="507"/>
      <c r="J25" s="15"/>
      <c r="K25" s="28" t="s">
        <v>124</v>
      </c>
      <c r="L25" s="173"/>
      <c r="M25" s="173"/>
      <c r="N25" s="174"/>
      <c r="O25" s="16"/>
    </row>
    <row r="26" spans="1:42" ht="22.25" customHeight="1" thickBot="1" x14ac:dyDescent="0.25">
      <c r="A26" s="14"/>
      <c r="B26" s="508"/>
      <c r="C26" s="509"/>
      <c r="D26" s="509"/>
      <c r="E26" s="509"/>
      <c r="F26" s="509"/>
      <c r="G26" s="509"/>
      <c r="H26" s="509"/>
      <c r="I26" s="510"/>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497" t="s">
        <v>134</v>
      </c>
      <c r="C28" s="498"/>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499" t="s">
        <v>137</v>
      </c>
      <c r="C29" s="500"/>
      <c r="D29" s="500"/>
      <c r="E29" s="500"/>
      <c r="F29" s="500"/>
      <c r="G29" s="500"/>
      <c r="H29" s="500"/>
      <c r="I29" s="501"/>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02"/>
      <c r="C30" s="503"/>
      <c r="D30" s="503"/>
      <c r="E30" s="503"/>
      <c r="F30" s="503"/>
      <c r="G30" s="503"/>
      <c r="H30" s="503"/>
      <c r="I30" s="504"/>
      <c r="J30" s="15"/>
      <c r="K30" s="515" t="s">
        <v>97</v>
      </c>
      <c r="L30" s="516"/>
      <c r="M30" s="519"/>
      <c r="N30" s="520"/>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05"/>
      <c r="C31" s="506"/>
      <c r="D31" s="506"/>
      <c r="E31" s="506"/>
      <c r="F31" s="506"/>
      <c r="G31" s="506"/>
      <c r="H31" s="506"/>
      <c r="I31" s="507"/>
      <c r="J31" s="15"/>
      <c r="K31" s="517"/>
      <c r="L31" s="518"/>
      <c r="M31" s="521"/>
      <c r="N31" s="522"/>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05"/>
      <c r="C32" s="506"/>
      <c r="D32" s="506"/>
      <c r="E32" s="506"/>
      <c r="F32" s="506"/>
      <c r="G32" s="506"/>
      <c r="H32" s="506"/>
      <c r="I32" s="507"/>
      <c r="J32" s="15"/>
      <c r="K32" s="517" t="s">
        <v>98</v>
      </c>
      <c r="L32" s="518"/>
      <c r="M32" s="521"/>
      <c r="N32" s="522"/>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05"/>
      <c r="C33" s="506"/>
      <c r="D33" s="506"/>
      <c r="E33" s="506"/>
      <c r="F33" s="506"/>
      <c r="G33" s="506"/>
      <c r="H33" s="506"/>
      <c r="I33" s="507"/>
      <c r="J33" s="15"/>
      <c r="K33" s="517"/>
      <c r="L33" s="518"/>
      <c r="M33" s="521"/>
      <c r="N33" s="522"/>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08"/>
      <c r="C34" s="509"/>
      <c r="D34" s="509"/>
      <c r="E34" s="509"/>
      <c r="F34" s="509"/>
      <c r="G34" s="509"/>
      <c r="H34" s="509"/>
      <c r="I34" s="510"/>
      <c r="J34" s="15"/>
      <c r="K34" s="511" t="s">
        <v>10</v>
      </c>
      <c r="L34" s="512"/>
      <c r="M34" s="513"/>
      <c r="N34" s="51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497" t="s">
        <v>223</v>
      </c>
      <c r="C36" s="498"/>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499" t="s">
        <v>231</v>
      </c>
      <c r="C37" s="500"/>
      <c r="D37" s="500"/>
      <c r="E37" s="500"/>
      <c r="F37" s="500"/>
      <c r="G37" s="500"/>
      <c r="H37" s="500"/>
      <c r="I37" s="501"/>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02"/>
      <c r="C38" s="503"/>
      <c r="D38" s="503"/>
      <c r="E38" s="503"/>
      <c r="F38" s="503"/>
      <c r="G38" s="503"/>
      <c r="H38" s="503"/>
      <c r="I38" s="504"/>
      <c r="J38" s="15"/>
      <c r="K38" s="515" t="s">
        <v>97</v>
      </c>
      <c r="L38" s="516"/>
      <c r="M38" s="519"/>
      <c r="N38" s="520"/>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05"/>
      <c r="C39" s="506"/>
      <c r="D39" s="506"/>
      <c r="E39" s="506"/>
      <c r="F39" s="506"/>
      <c r="G39" s="506"/>
      <c r="H39" s="506"/>
      <c r="I39" s="507"/>
      <c r="J39" s="15"/>
      <c r="K39" s="517"/>
      <c r="L39" s="518"/>
      <c r="M39" s="521"/>
      <c r="N39" s="522"/>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05"/>
      <c r="C40" s="506"/>
      <c r="D40" s="506"/>
      <c r="E40" s="506"/>
      <c r="F40" s="506"/>
      <c r="G40" s="506"/>
      <c r="H40" s="506"/>
      <c r="I40" s="507"/>
      <c r="J40" s="15"/>
      <c r="K40" s="517" t="s">
        <v>157</v>
      </c>
      <c r="L40" s="518"/>
      <c r="M40" s="521"/>
      <c r="N40" s="522"/>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05"/>
      <c r="C41" s="506"/>
      <c r="D41" s="506"/>
      <c r="E41" s="506"/>
      <c r="F41" s="506"/>
      <c r="G41" s="506"/>
      <c r="H41" s="506"/>
      <c r="I41" s="507"/>
      <c r="J41" s="15"/>
      <c r="K41" s="517"/>
      <c r="L41" s="518"/>
      <c r="M41" s="521"/>
      <c r="N41" s="522"/>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05"/>
      <c r="C42" s="506"/>
      <c r="D42" s="506"/>
      <c r="E42" s="506"/>
      <c r="F42" s="506"/>
      <c r="G42" s="506"/>
      <c r="H42" s="506"/>
      <c r="I42" s="507"/>
      <c r="J42" s="15"/>
      <c r="K42" s="523" t="s">
        <v>10</v>
      </c>
      <c r="L42" s="524"/>
      <c r="M42" s="525"/>
      <c r="N42" s="526"/>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05"/>
      <c r="C43" s="506"/>
      <c r="D43" s="509"/>
      <c r="E43" s="509"/>
      <c r="F43" s="509"/>
      <c r="G43" s="509"/>
      <c r="H43" s="509"/>
      <c r="I43" s="510"/>
      <c r="J43" s="15"/>
      <c r="K43" s="511" t="s">
        <v>260</v>
      </c>
      <c r="L43" s="512"/>
      <c r="M43" s="513"/>
      <c r="N43" s="51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497" t="s">
        <v>223</v>
      </c>
      <c r="C46" s="498"/>
      <c r="D46" s="24"/>
      <c r="E46" s="24"/>
      <c r="F46" s="24"/>
      <c r="G46" s="24"/>
      <c r="H46" s="24"/>
      <c r="I46" s="15"/>
      <c r="J46" s="15"/>
      <c r="K46" s="15"/>
      <c r="L46" s="24"/>
      <c r="M46" s="24"/>
      <c r="N46" s="24"/>
      <c r="O46" s="16"/>
    </row>
    <row r="47" spans="1:42" ht="51" customHeight="1" thickBot="1" x14ac:dyDescent="0.25">
      <c r="A47" s="14"/>
      <c r="B47" s="499" t="s">
        <v>230</v>
      </c>
      <c r="C47" s="500"/>
      <c r="D47" s="500"/>
      <c r="E47" s="500"/>
      <c r="F47" s="500"/>
      <c r="G47" s="500"/>
      <c r="H47" s="500"/>
      <c r="I47" s="501"/>
      <c r="J47" s="15"/>
      <c r="K47" s="15"/>
      <c r="L47" s="24"/>
      <c r="M47" s="24"/>
      <c r="N47" s="24"/>
      <c r="O47" s="16"/>
    </row>
    <row r="48" spans="1:42" ht="22.25" customHeight="1" x14ac:dyDescent="0.2">
      <c r="A48" s="14"/>
      <c r="B48" s="502"/>
      <c r="C48" s="503"/>
      <c r="D48" s="503"/>
      <c r="E48" s="503"/>
      <c r="F48" s="503"/>
      <c r="G48" s="503"/>
      <c r="H48" s="503"/>
      <c r="I48" s="504"/>
      <c r="J48" s="15"/>
      <c r="K48" s="515" t="s">
        <v>97</v>
      </c>
      <c r="L48" s="516"/>
      <c r="M48" s="519"/>
      <c r="N48" s="520"/>
      <c r="O48" s="16"/>
    </row>
    <row r="49" spans="1:15" ht="22.25" customHeight="1" x14ac:dyDescent="0.2">
      <c r="A49" s="14"/>
      <c r="B49" s="505"/>
      <c r="C49" s="506"/>
      <c r="D49" s="506"/>
      <c r="E49" s="506"/>
      <c r="F49" s="506"/>
      <c r="G49" s="506"/>
      <c r="H49" s="506"/>
      <c r="I49" s="507"/>
      <c r="J49" s="15"/>
      <c r="K49" s="517"/>
      <c r="L49" s="518"/>
      <c r="M49" s="521"/>
      <c r="N49" s="522"/>
      <c r="O49" s="16"/>
    </row>
    <row r="50" spans="1:15" ht="22.25" customHeight="1" x14ac:dyDescent="0.2">
      <c r="A50" s="14"/>
      <c r="B50" s="505"/>
      <c r="C50" s="506"/>
      <c r="D50" s="506"/>
      <c r="E50" s="506"/>
      <c r="F50" s="506"/>
      <c r="G50" s="506"/>
      <c r="H50" s="506"/>
      <c r="I50" s="507"/>
      <c r="J50" s="15"/>
      <c r="K50" s="517" t="s">
        <v>157</v>
      </c>
      <c r="L50" s="518"/>
      <c r="M50" s="521"/>
      <c r="N50" s="522"/>
      <c r="O50" s="16"/>
    </row>
    <row r="51" spans="1:15" ht="22.25" customHeight="1" x14ac:dyDescent="0.2">
      <c r="A51" s="14"/>
      <c r="B51" s="505"/>
      <c r="C51" s="506"/>
      <c r="D51" s="506"/>
      <c r="E51" s="506"/>
      <c r="F51" s="506"/>
      <c r="G51" s="506"/>
      <c r="H51" s="506"/>
      <c r="I51" s="507"/>
      <c r="J51" s="15"/>
      <c r="K51" s="517"/>
      <c r="L51" s="518"/>
      <c r="M51" s="521"/>
      <c r="N51" s="522"/>
      <c r="O51" s="16"/>
    </row>
    <row r="52" spans="1:15" ht="22.25" customHeight="1" x14ac:dyDescent="0.2">
      <c r="A52" s="14"/>
      <c r="B52" s="505"/>
      <c r="C52" s="506"/>
      <c r="D52" s="506"/>
      <c r="E52" s="506"/>
      <c r="F52" s="506"/>
      <c r="G52" s="506"/>
      <c r="H52" s="506"/>
      <c r="I52" s="507"/>
      <c r="J52" s="15"/>
      <c r="K52" s="523" t="s">
        <v>10</v>
      </c>
      <c r="L52" s="524"/>
      <c r="M52" s="525"/>
      <c r="N52" s="526"/>
      <c r="O52" s="16"/>
    </row>
    <row r="53" spans="1:15" ht="22.25" customHeight="1" thickBot="1" x14ac:dyDescent="0.25">
      <c r="A53" s="14"/>
      <c r="B53" s="508"/>
      <c r="C53" s="509"/>
      <c r="D53" s="509"/>
      <c r="E53" s="509"/>
      <c r="F53" s="509"/>
      <c r="G53" s="509"/>
      <c r="H53" s="509"/>
      <c r="I53" s="510"/>
      <c r="J53" s="15"/>
      <c r="K53" s="511" t="s">
        <v>259</v>
      </c>
      <c r="L53" s="512"/>
      <c r="M53" s="513"/>
      <c r="N53" s="51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497" t="s">
        <v>135</v>
      </c>
      <c r="C56" s="498"/>
      <c r="D56" s="24"/>
      <c r="E56" s="24"/>
      <c r="F56" s="24"/>
      <c r="G56" s="24"/>
      <c r="H56" s="24"/>
      <c r="I56" s="15"/>
      <c r="J56" s="15"/>
      <c r="K56" s="15"/>
      <c r="L56" s="24"/>
      <c r="M56" s="24"/>
      <c r="N56" s="24"/>
      <c r="O56" s="16"/>
    </row>
    <row r="57" spans="1:15" ht="36" customHeight="1" thickBot="1" x14ac:dyDescent="0.25">
      <c r="A57" s="14"/>
      <c r="B57" s="499" t="s">
        <v>156</v>
      </c>
      <c r="C57" s="500"/>
      <c r="D57" s="500"/>
      <c r="E57" s="500"/>
      <c r="F57" s="500"/>
      <c r="G57" s="500"/>
      <c r="H57" s="500"/>
      <c r="I57" s="501"/>
      <c r="J57" s="15"/>
      <c r="K57" s="15"/>
      <c r="L57" s="24"/>
      <c r="M57" s="24"/>
      <c r="N57" s="24"/>
      <c r="O57" s="16"/>
    </row>
    <row r="58" spans="1:15" ht="22.25" customHeight="1" x14ac:dyDescent="0.2">
      <c r="A58" s="14"/>
      <c r="B58" s="502"/>
      <c r="C58" s="503"/>
      <c r="D58" s="503"/>
      <c r="E58" s="503"/>
      <c r="F58" s="503"/>
      <c r="G58" s="503"/>
      <c r="H58" s="503"/>
      <c r="I58" s="504"/>
      <c r="J58" s="15"/>
      <c r="K58" s="515" t="s">
        <v>97</v>
      </c>
      <c r="L58" s="516"/>
      <c r="M58" s="519"/>
      <c r="N58" s="520"/>
      <c r="O58" s="16"/>
    </row>
    <row r="59" spans="1:15" ht="22.25" customHeight="1" x14ac:dyDescent="0.2">
      <c r="A59" s="14"/>
      <c r="B59" s="505"/>
      <c r="C59" s="506"/>
      <c r="D59" s="506"/>
      <c r="E59" s="506"/>
      <c r="F59" s="506"/>
      <c r="G59" s="506"/>
      <c r="H59" s="506"/>
      <c r="I59" s="507"/>
      <c r="J59" s="15"/>
      <c r="K59" s="517"/>
      <c r="L59" s="518"/>
      <c r="M59" s="521"/>
      <c r="N59" s="522"/>
      <c r="O59" s="16"/>
    </row>
    <row r="60" spans="1:15" ht="22.25" customHeight="1" x14ac:dyDescent="0.2">
      <c r="A60" s="14"/>
      <c r="B60" s="505"/>
      <c r="C60" s="506"/>
      <c r="D60" s="506"/>
      <c r="E60" s="506"/>
      <c r="F60" s="506"/>
      <c r="G60" s="506"/>
      <c r="H60" s="506"/>
      <c r="I60" s="507"/>
      <c r="J60" s="15"/>
      <c r="K60" s="517" t="s">
        <v>158</v>
      </c>
      <c r="L60" s="518"/>
      <c r="M60" s="521"/>
      <c r="N60" s="522"/>
      <c r="O60" s="16"/>
    </row>
    <row r="61" spans="1:15" ht="22.25" customHeight="1" x14ac:dyDescent="0.2">
      <c r="A61" s="14"/>
      <c r="B61" s="505"/>
      <c r="C61" s="506"/>
      <c r="D61" s="506"/>
      <c r="E61" s="506"/>
      <c r="F61" s="506"/>
      <c r="G61" s="506"/>
      <c r="H61" s="506"/>
      <c r="I61" s="507"/>
      <c r="J61" s="15"/>
      <c r="K61" s="517"/>
      <c r="L61" s="518"/>
      <c r="M61" s="521"/>
      <c r="N61" s="522"/>
      <c r="O61" s="16"/>
    </row>
    <row r="62" spans="1:15" ht="22.25" customHeight="1" thickBot="1" x14ac:dyDescent="0.25">
      <c r="A62" s="14"/>
      <c r="B62" s="508"/>
      <c r="C62" s="509"/>
      <c r="D62" s="509"/>
      <c r="E62" s="509"/>
      <c r="F62" s="509"/>
      <c r="G62" s="509"/>
      <c r="H62" s="509"/>
      <c r="I62" s="510"/>
      <c r="J62" s="15"/>
      <c r="K62" s="511" t="s">
        <v>10</v>
      </c>
      <c r="L62" s="512"/>
      <c r="M62" s="513"/>
      <c r="N62" s="51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from Word" prompt="To allow some splitting of text copy and paste paragraphs from Word._x000a_Double click to enable pasting." sqref="B58:I62 B48:I53 B38:I43 B30:I34" xr:uid="{00000000-0002-0000-1100-000000000000}"/>
    <dataValidation type="date" operator="greaterThan" allowBlank="1" showInputMessage="1" showErrorMessage="1" promptTitle="Date" prompt="Please enter the date in the format dd mmm yyy" sqref="M34:N34 M42:N43 M52:N53 M62:N62" xr:uid="{00000000-0002-0000-1100-000001000000}">
      <formula1>43607</formula1>
    </dataValidation>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11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4CED32F6-D2D9-4CA2-A104-B6EB5138FCCD}">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D60750E5-B002-46D8-BB5A-0C810BBF51C2}">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FC877E48-65A7-4CB0-A7F7-9CD7A41630D8}">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6B783339-5A47-46F8-B938-64FE6A6883D6}">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984FA7FF-1F15-41E2-8E4F-819CEC1BD0B6}">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025C2DBB-BE68-4E28-99CB-8C0140BDE72C}">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21551AE4-133D-4EE4-B9FA-1337A2F032FB}">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6AD1F257-3FE8-43E9-B04A-9457550395FE}">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2139B2C3-8872-4B83-8B6E-C66C953799D5}">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BD0E13B9-AB3A-445C-95F9-D4BDB921B6CC}">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36BF678B-703F-47FE-BBBF-8957EDC6F93E}">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480D8B68-1FC4-4D5B-8718-5BC96F7E0EC9}">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00EDE54E-A0CA-44FF-907C-677F138E29AF}">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6C995E0E-8B90-4471-BC8A-6F0D2F71BF62}">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6F2B52D2-3DB5-46FA-AF93-4FB421195737}">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DB65D4B4-7DF4-49EC-942E-F4AF052C2EAF}">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FD8E4821-1E6E-4D59-A4E2-C28AA1690FE1}">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A4D111B7-5214-4EB1-8B5A-41647B325768}">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A01CA985-993B-4862-9562-391A48C81140}">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5E53C626-7ED6-46F7-8B0A-ECD9CBEDC413}">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Work Location(s)" prompt="Please select the MAIN work location(s) you have been based at during this period._x000a__x000a_N.B. Warwick University is JLR Research at Warwick" xr:uid="{00000000-0002-0000-1100-000003000000}">
          <x14:formula1>
            <xm:f>'Drop Down Lists'!$G$2:$G$21</xm:f>
          </x14:formula1>
          <xm:sqref>K5:N6</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1100-000004000000}">
          <x14:formula1>
            <xm:f>'Drop Down Lists'!$A$22:$A$26</xm:f>
          </x14:formula1>
          <xm:sqref>N10:N26</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1100-000005000000}">
          <x14:formula1>
            <xm:f>'Drop Down Lists'!$A$2:$A$3</xm:f>
          </x14:formula1>
          <xm:sqref>I44 I54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1100-000006000000}">
          <x14:formula1>
            <xm:f>'Drop Down Lists'!$A$2:$A$3</xm:f>
          </x14:formula1>
          <xm:sqref>E44 E54</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1100-000007000000}">
          <x14:formula1>
            <xm:f>'Drop Down Lists'!$A$2:$A$3</xm:f>
          </x14:formula1>
          <xm:sqref>C44 C54</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1100-000008000000}">
          <x14:formula1>
            <xm:f>'Drop Down Lists'!$A$22:$A$26</xm:f>
          </x14:formula1>
          <xm:sqref>M10:M26</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1100-000009000000}">
          <x14:formula1>
            <xm:f>'Drop Down Lists'!$A$22:$A$26</xm:f>
          </x14:formula1>
          <xm:sqref>L10:L26</xm:sqref>
        </x14:dataValidation>
        <x14:dataValidation type="list" allowBlank="1" showInputMessage="1" showErrorMessage="1" promptTitle="Attendance" prompt="Attendance &amp; Engagement with the programme:_x000a_Excellent (90-100%)_x000a_Satisfactory (80-90%)_x000a_Concerning (&lt;80%)" xr:uid="{00000000-0002-0000-1100-00000A000000}">
          <x14:formula1>
            <xm:f>'Drop Down Lists'!$A$38:$A$40</xm:f>
          </x14:formula1>
          <xm:sqref>G54 G44</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pageSetUpPr fitToPage="1"/>
  </sheetPr>
  <dimension ref="A1:AP168"/>
  <sheetViews>
    <sheetView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Y4 R1</v>
      </c>
      <c r="B1" s="19"/>
      <c r="C1" s="19"/>
      <c r="D1" s="19"/>
      <c r="E1" s="19"/>
      <c r="F1" s="19"/>
      <c r="G1" s="19"/>
      <c r="H1" s="19"/>
      <c r="I1" s="19"/>
      <c r="J1" s="19"/>
      <c r="K1" s="223"/>
      <c r="L1" s="529" t="s">
        <v>256</v>
      </c>
      <c r="M1" s="529"/>
      <c r="N1" s="318">
        <f ca="1">TODAY()</f>
        <v>43969</v>
      </c>
      <c r="O1" s="20"/>
    </row>
    <row r="2" spans="1:42" ht="35" x14ac:dyDescent="0.35">
      <c r="A2" s="14"/>
      <c r="B2" s="465" t="s">
        <v>322</v>
      </c>
      <c r="C2" s="465"/>
      <c r="D2" s="465"/>
      <c r="E2" s="465"/>
      <c r="F2" s="465"/>
      <c r="G2" s="465"/>
      <c r="H2" s="465"/>
      <c r="I2" s="465"/>
      <c r="J2" s="465"/>
      <c r="K2" s="465"/>
      <c r="L2" s="465"/>
      <c r="M2" s="465"/>
      <c r="N2" s="465"/>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36" t="s">
        <v>254</v>
      </c>
      <c r="L4" s="537"/>
      <c r="M4" s="537"/>
      <c r="N4" s="53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19" t="s">
        <v>211</v>
      </c>
      <c r="C5" s="421"/>
      <c r="D5" s="530" t="str">
        <f>'Front Sheet'!C5:C6</f>
        <v>Philip</v>
      </c>
      <c r="E5" s="532" t="str">
        <f>'Front Sheet'!D5:D6</f>
        <v>McGaw</v>
      </c>
      <c r="F5" s="534" t="str">
        <f>'Front Sheet'!G2</f>
        <v>pmcgaw</v>
      </c>
      <c r="G5" s="119">
        <f>'Front Sheet'!J5</f>
        <v>83137730</v>
      </c>
      <c r="H5" s="15"/>
      <c r="I5" s="25"/>
      <c r="J5" s="15"/>
      <c r="K5" s="539"/>
      <c r="L5" s="540"/>
      <c r="M5" s="540"/>
      <c r="N5" s="541"/>
      <c r="O5" s="16"/>
    </row>
    <row r="6" spans="1:42" ht="18" customHeight="1" thickBot="1" x14ac:dyDescent="0.25">
      <c r="A6" s="14"/>
      <c r="B6" s="422"/>
      <c r="C6" s="424"/>
      <c r="D6" s="531"/>
      <c r="E6" s="533"/>
      <c r="F6" s="535"/>
      <c r="G6" s="120">
        <f>'Front Sheet'!J6</f>
        <v>0</v>
      </c>
      <c r="H6" s="15"/>
      <c r="I6" s="25"/>
      <c r="J6" s="15"/>
      <c r="K6" s="542"/>
      <c r="L6" s="543"/>
      <c r="M6" s="543"/>
      <c r="N6" s="544"/>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499" t="s">
        <v>232</v>
      </c>
      <c r="C9" s="527"/>
      <c r="D9" s="527"/>
      <c r="E9" s="527"/>
      <c r="F9" s="527"/>
      <c r="G9" s="527"/>
      <c r="H9" s="527"/>
      <c r="I9" s="528"/>
      <c r="J9" s="15"/>
      <c r="K9" s="26" t="s">
        <v>136</v>
      </c>
      <c r="L9" s="89" t="s">
        <v>126</v>
      </c>
      <c r="M9" s="89" t="s">
        <v>128</v>
      </c>
      <c r="N9" s="96" t="s">
        <v>127</v>
      </c>
      <c r="O9" s="16"/>
      <c r="P9" s="165"/>
      <c r="Q9" s="165"/>
      <c r="R9" s="165"/>
      <c r="S9" s="165"/>
      <c r="T9" s="165"/>
    </row>
    <row r="10" spans="1:42" ht="22.25" customHeight="1" x14ac:dyDescent="0.2">
      <c r="A10" s="14"/>
      <c r="B10" s="502"/>
      <c r="C10" s="503"/>
      <c r="D10" s="503"/>
      <c r="E10" s="503"/>
      <c r="F10" s="503"/>
      <c r="G10" s="503"/>
      <c r="H10" s="503"/>
      <c r="I10" s="504"/>
      <c r="J10" s="15"/>
      <c r="K10" s="27" t="s">
        <v>109</v>
      </c>
      <c r="L10" s="170"/>
      <c r="M10" s="171"/>
      <c r="N10" s="172"/>
      <c r="O10" s="16"/>
    </row>
    <row r="11" spans="1:42" ht="22.25" customHeight="1" x14ac:dyDescent="0.2">
      <c r="A11" s="14"/>
      <c r="B11" s="505"/>
      <c r="C11" s="506"/>
      <c r="D11" s="506"/>
      <c r="E11" s="506"/>
      <c r="F11" s="506"/>
      <c r="G11" s="506"/>
      <c r="H11" s="506"/>
      <c r="I11" s="507"/>
      <c r="J11" s="15"/>
      <c r="K11" s="28" t="s">
        <v>110</v>
      </c>
      <c r="L11" s="173"/>
      <c r="M11" s="173"/>
      <c r="N11" s="174"/>
      <c r="O11" s="16"/>
    </row>
    <row r="12" spans="1:42" ht="22.25" customHeight="1" x14ac:dyDescent="0.2">
      <c r="A12" s="14"/>
      <c r="B12" s="505"/>
      <c r="C12" s="506"/>
      <c r="D12" s="506"/>
      <c r="E12" s="506"/>
      <c r="F12" s="506"/>
      <c r="G12" s="506"/>
      <c r="H12" s="506"/>
      <c r="I12" s="507"/>
      <c r="J12" s="15"/>
      <c r="K12" s="28" t="s">
        <v>111</v>
      </c>
      <c r="L12" s="173"/>
      <c r="M12" s="173"/>
      <c r="N12" s="174"/>
      <c r="O12" s="16"/>
    </row>
    <row r="13" spans="1:42" ht="22.25" customHeight="1" x14ac:dyDescent="0.2">
      <c r="A13" s="14"/>
      <c r="B13" s="505"/>
      <c r="C13" s="506"/>
      <c r="D13" s="506"/>
      <c r="E13" s="506"/>
      <c r="F13" s="506"/>
      <c r="G13" s="506"/>
      <c r="H13" s="506"/>
      <c r="I13" s="507"/>
      <c r="J13" s="15"/>
      <c r="K13" s="28" t="s">
        <v>112</v>
      </c>
      <c r="L13" s="173"/>
      <c r="M13" s="173"/>
      <c r="N13" s="174"/>
      <c r="O13" s="16"/>
    </row>
    <row r="14" spans="1:42" ht="22.25" customHeight="1" x14ac:dyDescent="0.2">
      <c r="A14" s="14"/>
      <c r="B14" s="505"/>
      <c r="C14" s="506"/>
      <c r="D14" s="506"/>
      <c r="E14" s="506"/>
      <c r="F14" s="506"/>
      <c r="G14" s="506"/>
      <c r="H14" s="506"/>
      <c r="I14" s="507"/>
      <c r="J14" s="15"/>
      <c r="K14" s="28" t="s">
        <v>113</v>
      </c>
      <c r="L14" s="173"/>
      <c r="M14" s="173"/>
      <c r="N14" s="174"/>
      <c r="O14" s="16"/>
    </row>
    <row r="15" spans="1:42" ht="22.25" customHeight="1" x14ac:dyDescent="0.2">
      <c r="A15" s="14"/>
      <c r="B15" s="505"/>
      <c r="C15" s="506"/>
      <c r="D15" s="506"/>
      <c r="E15" s="506"/>
      <c r="F15" s="506"/>
      <c r="G15" s="506"/>
      <c r="H15" s="506"/>
      <c r="I15" s="507"/>
      <c r="J15" s="15"/>
      <c r="K15" s="28" t="s">
        <v>114</v>
      </c>
      <c r="L15" s="173"/>
      <c r="M15" s="173"/>
      <c r="N15" s="174"/>
      <c r="O15" s="16"/>
    </row>
    <row r="16" spans="1:42" ht="22.25" customHeight="1" x14ac:dyDescent="0.2">
      <c r="A16" s="14"/>
      <c r="B16" s="505"/>
      <c r="C16" s="506"/>
      <c r="D16" s="506"/>
      <c r="E16" s="506"/>
      <c r="F16" s="506"/>
      <c r="G16" s="506"/>
      <c r="H16" s="506"/>
      <c r="I16" s="507"/>
      <c r="J16" s="15"/>
      <c r="K16" s="28" t="s">
        <v>115</v>
      </c>
      <c r="L16" s="173"/>
      <c r="M16" s="173"/>
      <c r="N16" s="174"/>
      <c r="O16" s="16"/>
    </row>
    <row r="17" spans="1:42" ht="22.25" customHeight="1" x14ac:dyDescent="0.2">
      <c r="A17" s="14"/>
      <c r="B17" s="505"/>
      <c r="C17" s="506"/>
      <c r="D17" s="506"/>
      <c r="E17" s="506"/>
      <c r="F17" s="506"/>
      <c r="G17" s="506"/>
      <c r="H17" s="506"/>
      <c r="I17" s="507"/>
      <c r="J17" s="15"/>
      <c r="K17" s="28" t="s">
        <v>116</v>
      </c>
      <c r="L17" s="173"/>
      <c r="M17" s="173"/>
      <c r="N17" s="174"/>
      <c r="O17" s="16"/>
    </row>
    <row r="18" spans="1:42" ht="22.25" customHeight="1" x14ac:dyDescent="0.2">
      <c r="A18" s="14"/>
      <c r="B18" s="505"/>
      <c r="C18" s="506"/>
      <c r="D18" s="506"/>
      <c r="E18" s="506"/>
      <c r="F18" s="506"/>
      <c r="G18" s="506"/>
      <c r="H18" s="506"/>
      <c r="I18" s="507"/>
      <c r="J18" s="15"/>
      <c r="K18" s="28" t="s">
        <v>117</v>
      </c>
      <c r="L18" s="173"/>
      <c r="M18" s="173"/>
      <c r="N18" s="174"/>
      <c r="O18" s="16"/>
    </row>
    <row r="19" spans="1:42" ht="22.25" customHeight="1" x14ac:dyDescent="0.2">
      <c r="A19" s="14"/>
      <c r="B19" s="505"/>
      <c r="C19" s="506"/>
      <c r="D19" s="506"/>
      <c r="E19" s="506"/>
      <c r="F19" s="506"/>
      <c r="G19" s="506"/>
      <c r="H19" s="506"/>
      <c r="I19" s="507"/>
      <c r="J19" s="15"/>
      <c r="K19" s="28" t="s">
        <v>118</v>
      </c>
      <c r="L19" s="173"/>
      <c r="M19" s="173"/>
      <c r="N19" s="174"/>
      <c r="O19" s="16"/>
    </row>
    <row r="20" spans="1:42" ht="22.25" customHeight="1" x14ac:dyDescent="0.2">
      <c r="A20" s="14"/>
      <c r="B20" s="505"/>
      <c r="C20" s="506"/>
      <c r="D20" s="506"/>
      <c r="E20" s="506"/>
      <c r="F20" s="506"/>
      <c r="G20" s="506"/>
      <c r="H20" s="506"/>
      <c r="I20" s="507"/>
      <c r="J20" s="15"/>
      <c r="K20" s="28" t="s">
        <v>119</v>
      </c>
      <c r="L20" s="173"/>
      <c r="M20" s="173"/>
      <c r="N20" s="174"/>
      <c r="O20" s="16"/>
    </row>
    <row r="21" spans="1:42" ht="22.25" customHeight="1" x14ac:dyDescent="0.2">
      <c r="A21" s="14"/>
      <c r="B21" s="505"/>
      <c r="C21" s="506"/>
      <c r="D21" s="506"/>
      <c r="E21" s="506"/>
      <c r="F21" s="506"/>
      <c r="G21" s="506"/>
      <c r="H21" s="506"/>
      <c r="I21" s="507"/>
      <c r="J21" s="15"/>
      <c r="K21" s="28" t="s">
        <v>120</v>
      </c>
      <c r="L21" s="173"/>
      <c r="M21" s="173"/>
      <c r="N21" s="174"/>
      <c r="O21" s="16"/>
    </row>
    <row r="22" spans="1:42" ht="22.25" customHeight="1" x14ac:dyDescent="0.2">
      <c r="A22" s="14"/>
      <c r="B22" s="505"/>
      <c r="C22" s="506"/>
      <c r="D22" s="506"/>
      <c r="E22" s="506"/>
      <c r="F22" s="506"/>
      <c r="G22" s="506"/>
      <c r="H22" s="506"/>
      <c r="I22" s="507"/>
      <c r="J22" s="15"/>
      <c r="K22" s="28" t="s">
        <v>121</v>
      </c>
      <c r="L22" s="173"/>
      <c r="M22" s="173"/>
      <c r="N22" s="174"/>
      <c r="O22" s="16"/>
    </row>
    <row r="23" spans="1:42" ht="22.25" customHeight="1" x14ac:dyDescent="0.2">
      <c r="A23" s="14"/>
      <c r="B23" s="505"/>
      <c r="C23" s="506"/>
      <c r="D23" s="506"/>
      <c r="E23" s="506"/>
      <c r="F23" s="506"/>
      <c r="G23" s="506"/>
      <c r="H23" s="506"/>
      <c r="I23" s="507"/>
      <c r="J23" s="15"/>
      <c r="K23" s="28" t="s">
        <v>122</v>
      </c>
      <c r="L23" s="173"/>
      <c r="M23" s="173"/>
      <c r="N23" s="174"/>
      <c r="O23" s="16"/>
    </row>
    <row r="24" spans="1:42" ht="22.25" customHeight="1" x14ac:dyDescent="0.2">
      <c r="A24" s="14"/>
      <c r="B24" s="505"/>
      <c r="C24" s="506"/>
      <c r="D24" s="506"/>
      <c r="E24" s="506"/>
      <c r="F24" s="506"/>
      <c r="G24" s="506"/>
      <c r="H24" s="506"/>
      <c r="I24" s="507"/>
      <c r="J24" s="15"/>
      <c r="K24" s="28" t="s">
        <v>123</v>
      </c>
      <c r="L24" s="173"/>
      <c r="M24" s="173"/>
      <c r="N24" s="174"/>
      <c r="O24" s="16"/>
    </row>
    <row r="25" spans="1:42" ht="22.25" customHeight="1" x14ac:dyDescent="0.2">
      <c r="A25" s="14"/>
      <c r="B25" s="505"/>
      <c r="C25" s="506"/>
      <c r="D25" s="506"/>
      <c r="E25" s="506"/>
      <c r="F25" s="506"/>
      <c r="G25" s="506"/>
      <c r="H25" s="506"/>
      <c r="I25" s="507"/>
      <c r="J25" s="15"/>
      <c r="K25" s="28" t="s">
        <v>124</v>
      </c>
      <c r="L25" s="173"/>
      <c r="M25" s="173"/>
      <c r="N25" s="174"/>
      <c r="O25" s="16"/>
    </row>
    <row r="26" spans="1:42" ht="22.25" customHeight="1" thickBot="1" x14ac:dyDescent="0.25">
      <c r="A26" s="14"/>
      <c r="B26" s="508"/>
      <c r="C26" s="509"/>
      <c r="D26" s="509"/>
      <c r="E26" s="509"/>
      <c r="F26" s="509"/>
      <c r="G26" s="509"/>
      <c r="H26" s="509"/>
      <c r="I26" s="510"/>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497" t="s">
        <v>134</v>
      </c>
      <c r="C28" s="498"/>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499" t="s">
        <v>137</v>
      </c>
      <c r="C29" s="500"/>
      <c r="D29" s="500"/>
      <c r="E29" s="500"/>
      <c r="F29" s="500"/>
      <c r="G29" s="500"/>
      <c r="H29" s="500"/>
      <c r="I29" s="501"/>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02"/>
      <c r="C30" s="503"/>
      <c r="D30" s="503"/>
      <c r="E30" s="503"/>
      <c r="F30" s="503"/>
      <c r="G30" s="503"/>
      <c r="H30" s="503"/>
      <c r="I30" s="504"/>
      <c r="J30" s="15"/>
      <c r="K30" s="515" t="s">
        <v>97</v>
      </c>
      <c r="L30" s="516"/>
      <c r="M30" s="519"/>
      <c r="N30" s="520"/>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05"/>
      <c r="C31" s="506"/>
      <c r="D31" s="506"/>
      <c r="E31" s="506"/>
      <c r="F31" s="506"/>
      <c r="G31" s="506"/>
      <c r="H31" s="506"/>
      <c r="I31" s="507"/>
      <c r="J31" s="15"/>
      <c r="K31" s="517"/>
      <c r="L31" s="518"/>
      <c r="M31" s="521"/>
      <c r="N31" s="522"/>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05"/>
      <c r="C32" s="506"/>
      <c r="D32" s="506"/>
      <c r="E32" s="506"/>
      <c r="F32" s="506"/>
      <c r="G32" s="506"/>
      <c r="H32" s="506"/>
      <c r="I32" s="507"/>
      <c r="J32" s="15"/>
      <c r="K32" s="517" t="s">
        <v>98</v>
      </c>
      <c r="L32" s="518"/>
      <c r="M32" s="521"/>
      <c r="N32" s="522"/>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05"/>
      <c r="C33" s="506"/>
      <c r="D33" s="506"/>
      <c r="E33" s="506"/>
      <c r="F33" s="506"/>
      <c r="G33" s="506"/>
      <c r="H33" s="506"/>
      <c r="I33" s="507"/>
      <c r="J33" s="15"/>
      <c r="K33" s="517"/>
      <c r="L33" s="518"/>
      <c r="M33" s="521"/>
      <c r="N33" s="522"/>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08"/>
      <c r="C34" s="509"/>
      <c r="D34" s="509"/>
      <c r="E34" s="509"/>
      <c r="F34" s="509"/>
      <c r="G34" s="509"/>
      <c r="H34" s="509"/>
      <c r="I34" s="510"/>
      <c r="J34" s="15"/>
      <c r="K34" s="511" t="s">
        <v>10</v>
      </c>
      <c r="L34" s="512"/>
      <c r="M34" s="513"/>
      <c r="N34" s="51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497" t="s">
        <v>223</v>
      </c>
      <c r="C36" s="498"/>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499" t="s">
        <v>231</v>
      </c>
      <c r="C37" s="500"/>
      <c r="D37" s="500"/>
      <c r="E37" s="500"/>
      <c r="F37" s="500"/>
      <c r="G37" s="500"/>
      <c r="H37" s="500"/>
      <c r="I37" s="501"/>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02"/>
      <c r="C38" s="503"/>
      <c r="D38" s="503"/>
      <c r="E38" s="503"/>
      <c r="F38" s="503"/>
      <c r="G38" s="503"/>
      <c r="H38" s="503"/>
      <c r="I38" s="504"/>
      <c r="J38" s="15"/>
      <c r="K38" s="515" t="s">
        <v>97</v>
      </c>
      <c r="L38" s="516"/>
      <c r="M38" s="519"/>
      <c r="N38" s="520"/>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05"/>
      <c r="C39" s="506"/>
      <c r="D39" s="506"/>
      <c r="E39" s="506"/>
      <c r="F39" s="506"/>
      <c r="G39" s="506"/>
      <c r="H39" s="506"/>
      <c r="I39" s="507"/>
      <c r="J39" s="15"/>
      <c r="K39" s="517"/>
      <c r="L39" s="518"/>
      <c r="M39" s="521"/>
      <c r="N39" s="522"/>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05"/>
      <c r="C40" s="506"/>
      <c r="D40" s="506"/>
      <c r="E40" s="506"/>
      <c r="F40" s="506"/>
      <c r="G40" s="506"/>
      <c r="H40" s="506"/>
      <c r="I40" s="507"/>
      <c r="J40" s="15"/>
      <c r="K40" s="517" t="s">
        <v>157</v>
      </c>
      <c r="L40" s="518"/>
      <c r="M40" s="521"/>
      <c r="N40" s="522"/>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05"/>
      <c r="C41" s="506"/>
      <c r="D41" s="506"/>
      <c r="E41" s="506"/>
      <c r="F41" s="506"/>
      <c r="G41" s="506"/>
      <c r="H41" s="506"/>
      <c r="I41" s="507"/>
      <c r="J41" s="15"/>
      <c r="K41" s="517"/>
      <c r="L41" s="518"/>
      <c r="M41" s="521"/>
      <c r="N41" s="522"/>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05"/>
      <c r="C42" s="506"/>
      <c r="D42" s="506"/>
      <c r="E42" s="506"/>
      <c r="F42" s="506"/>
      <c r="G42" s="506"/>
      <c r="H42" s="506"/>
      <c r="I42" s="507"/>
      <c r="J42" s="15"/>
      <c r="K42" s="523" t="s">
        <v>10</v>
      </c>
      <c r="L42" s="524"/>
      <c r="M42" s="525"/>
      <c r="N42" s="526"/>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05"/>
      <c r="C43" s="506"/>
      <c r="D43" s="509"/>
      <c r="E43" s="509"/>
      <c r="F43" s="509"/>
      <c r="G43" s="509"/>
      <c r="H43" s="509"/>
      <c r="I43" s="510"/>
      <c r="J43" s="15"/>
      <c r="K43" s="511" t="s">
        <v>260</v>
      </c>
      <c r="L43" s="512"/>
      <c r="M43" s="513"/>
      <c r="N43" s="51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497" t="s">
        <v>223</v>
      </c>
      <c r="C46" s="498"/>
      <c r="D46" s="24"/>
      <c r="E46" s="24"/>
      <c r="F46" s="24"/>
      <c r="G46" s="24"/>
      <c r="H46" s="24"/>
      <c r="I46" s="15"/>
      <c r="J46" s="15"/>
      <c r="K46" s="15"/>
      <c r="L46" s="24"/>
      <c r="M46" s="24"/>
      <c r="N46" s="24"/>
      <c r="O46" s="16"/>
    </row>
    <row r="47" spans="1:42" ht="51" customHeight="1" thickBot="1" x14ac:dyDescent="0.25">
      <c r="A47" s="14"/>
      <c r="B47" s="499" t="s">
        <v>230</v>
      </c>
      <c r="C47" s="500"/>
      <c r="D47" s="500"/>
      <c r="E47" s="500"/>
      <c r="F47" s="500"/>
      <c r="G47" s="500"/>
      <c r="H47" s="500"/>
      <c r="I47" s="501"/>
      <c r="J47" s="15"/>
      <c r="K47" s="15"/>
      <c r="L47" s="24"/>
      <c r="M47" s="24"/>
      <c r="N47" s="24"/>
      <c r="O47" s="16"/>
    </row>
    <row r="48" spans="1:42" ht="22.25" customHeight="1" x14ac:dyDescent="0.2">
      <c r="A48" s="14"/>
      <c r="B48" s="502"/>
      <c r="C48" s="503"/>
      <c r="D48" s="503"/>
      <c r="E48" s="503"/>
      <c r="F48" s="503"/>
      <c r="G48" s="503"/>
      <c r="H48" s="503"/>
      <c r="I48" s="504"/>
      <c r="J48" s="15"/>
      <c r="K48" s="515" t="s">
        <v>97</v>
      </c>
      <c r="L48" s="516"/>
      <c r="M48" s="519"/>
      <c r="N48" s="520"/>
      <c r="O48" s="16"/>
    </row>
    <row r="49" spans="1:15" ht="22.25" customHeight="1" x14ac:dyDescent="0.2">
      <c r="A49" s="14"/>
      <c r="B49" s="505"/>
      <c r="C49" s="506"/>
      <c r="D49" s="506"/>
      <c r="E49" s="506"/>
      <c r="F49" s="506"/>
      <c r="G49" s="506"/>
      <c r="H49" s="506"/>
      <c r="I49" s="507"/>
      <c r="J49" s="15"/>
      <c r="K49" s="517"/>
      <c r="L49" s="518"/>
      <c r="M49" s="521"/>
      <c r="N49" s="522"/>
      <c r="O49" s="16"/>
    </row>
    <row r="50" spans="1:15" ht="22.25" customHeight="1" x14ac:dyDescent="0.2">
      <c r="A50" s="14"/>
      <c r="B50" s="505"/>
      <c r="C50" s="506"/>
      <c r="D50" s="506"/>
      <c r="E50" s="506"/>
      <c r="F50" s="506"/>
      <c r="G50" s="506"/>
      <c r="H50" s="506"/>
      <c r="I50" s="507"/>
      <c r="J50" s="15"/>
      <c r="K50" s="517" t="s">
        <v>157</v>
      </c>
      <c r="L50" s="518"/>
      <c r="M50" s="521"/>
      <c r="N50" s="522"/>
      <c r="O50" s="16"/>
    </row>
    <row r="51" spans="1:15" ht="22.25" customHeight="1" x14ac:dyDescent="0.2">
      <c r="A51" s="14"/>
      <c r="B51" s="505"/>
      <c r="C51" s="506"/>
      <c r="D51" s="506"/>
      <c r="E51" s="506"/>
      <c r="F51" s="506"/>
      <c r="G51" s="506"/>
      <c r="H51" s="506"/>
      <c r="I51" s="507"/>
      <c r="J51" s="15"/>
      <c r="K51" s="517"/>
      <c r="L51" s="518"/>
      <c r="M51" s="521"/>
      <c r="N51" s="522"/>
      <c r="O51" s="16"/>
    </row>
    <row r="52" spans="1:15" ht="22.25" customHeight="1" x14ac:dyDescent="0.2">
      <c r="A52" s="14"/>
      <c r="B52" s="505"/>
      <c r="C52" s="506"/>
      <c r="D52" s="506"/>
      <c r="E52" s="506"/>
      <c r="F52" s="506"/>
      <c r="G52" s="506"/>
      <c r="H52" s="506"/>
      <c r="I52" s="507"/>
      <c r="J52" s="15"/>
      <c r="K52" s="523" t="s">
        <v>10</v>
      </c>
      <c r="L52" s="524"/>
      <c r="M52" s="525"/>
      <c r="N52" s="526"/>
      <c r="O52" s="16"/>
    </row>
    <row r="53" spans="1:15" ht="22.25" customHeight="1" thickBot="1" x14ac:dyDescent="0.25">
      <c r="A53" s="14"/>
      <c r="B53" s="508"/>
      <c r="C53" s="509"/>
      <c r="D53" s="509"/>
      <c r="E53" s="509"/>
      <c r="F53" s="509"/>
      <c r="G53" s="509"/>
      <c r="H53" s="509"/>
      <c r="I53" s="510"/>
      <c r="J53" s="15"/>
      <c r="K53" s="511" t="s">
        <v>259</v>
      </c>
      <c r="L53" s="512"/>
      <c r="M53" s="513"/>
      <c r="N53" s="51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497" t="s">
        <v>135</v>
      </c>
      <c r="C56" s="498"/>
      <c r="D56" s="24"/>
      <c r="E56" s="24"/>
      <c r="F56" s="24"/>
      <c r="G56" s="24"/>
      <c r="H56" s="24"/>
      <c r="I56" s="15"/>
      <c r="J56" s="15"/>
      <c r="K56" s="15"/>
      <c r="L56" s="24"/>
      <c r="M56" s="24"/>
      <c r="N56" s="24"/>
      <c r="O56" s="16"/>
    </row>
    <row r="57" spans="1:15" ht="36" customHeight="1" thickBot="1" x14ac:dyDescent="0.25">
      <c r="A57" s="14"/>
      <c r="B57" s="499" t="s">
        <v>156</v>
      </c>
      <c r="C57" s="500"/>
      <c r="D57" s="500"/>
      <c r="E57" s="500"/>
      <c r="F57" s="500"/>
      <c r="G57" s="500"/>
      <c r="H57" s="500"/>
      <c r="I57" s="501"/>
      <c r="J57" s="15"/>
      <c r="K57" s="15"/>
      <c r="L57" s="24"/>
      <c r="M57" s="24"/>
      <c r="N57" s="24"/>
      <c r="O57" s="16"/>
    </row>
    <row r="58" spans="1:15" ht="22.25" customHeight="1" x14ac:dyDescent="0.2">
      <c r="A58" s="14"/>
      <c r="B58" s="502"/>
      <c r="C58" s="503"/>
      <c r="D58" s="503"/>
      <c r="E58" s="503"/>
      <c r="F58" s="503"/>
      <c r="G58" s="503"/>
      <c r="H58" s="503"/>
      <c r="I58" s="504"/>
      <c r="J58" s="15"/>
      <c r="K58" s="515" t="s">
        <v>97</v>
      </c>
      <c r="L58" s="516"/>
      <c r="M58" s="519"/>
      <c r="N58" s="520"/>
      <c r="O58" s="16"/>
    </row>
    <row r="59" spans="1:15" ht="22.25" customHeight="1" x14ac:dyDescent="0.2">
      <c r="A59" s="14"/>
      <c r="B59" s="505"/>
      <c r="C59" s="506"/>
      <c r="D59" s="506"/>
      <c r="E59" s="506"/>
      <c r="F59" s="506"/>
      <c r="G59" s="506"/>
      <c r="H59" s="506"/>
      <c r="I59" s="507"/>
      <c r="J59" s="15"/>
      <c r="K59" s="517"/>
      <c r="L59" s="518"/>
      <c r="M59" s="521"/>
      <c r="N59" s="522"/>
      <c r="O59" s="16"/>
    </row>
    <row r="60" spans="1:15" ht="22.25" customHeight="1" x14ac:dyDescent="0.2">
      <c r="A60" s="14"/>
      <c r="B60" s="505"/>
      <c r="C60" s="506"/>
      <c r="D60" s="506"/>
      <c r="E60" s="506"/>
      <c r="F60" s="506"/>
      <c r="G60" s="506"/>
      <c r="H60" s="506"/>
      <c r="I60" s="507"/>
      <c r="J60" s="15"/>
      <c r="K60" s="517" t="s">
        <v>158</v>
      </c>
      <c r="L60" s="518"/>
      <c r="M60" s="521"/>
      <c r="N60" s="522"/>
      <c r="O60" s="16"/>
    </row>
    <row r="61" spans="1:15" ht="22.25" customHeight="1" x14ac:dyDescent="0.2">
      <c r="A61" s="14"/>
      <c r="B61" s="505"/>
      <c r="C61" s="506"/>
      <c r="D61" s="506"/>
      <c r="E61" s="506"/>
      <c r="F61" s="506"/>
      <c r="G61" s="506"/>
      <c r="H61" s="506"/>
      <c r="I61" s="507"/>
      <c r="J61" s="15"/>
      <c r="K61" s="517"/>
      <c r="L61" s="518"/>
      <c r="M61" s="521"/>
      <c r="N61" s="522"/>
      <c r="O61" s="16"/>
    </row>
    <row r="62" spans="1:15" ht="22.25" customHeight="1" thickBot="1" x14ac:dyDescent="0.25">
      <c r="A62" s="14"/>
      <c r="B62" s="508"/>
      <c r="C62" s="509"/>
      <c r="D62" s="509"/>
      <c r="E62" s="509"/>
      <c r="F62" s="509"/>
      <c r="G62" s="509"/>
      <c r="H62" s="509"/>
      <c r="I62" s="510"/>
      <c r="J62" s="15"/>
      <c r="K62" s="511" t="s">
        <v>10</v>
      </c>
      <c r="L62" s="512"/>
      <c r="M62" s="513"/>
      <c r="N62" s="51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from Word" prompt="To allow some splitting of text copy and paste paragraphs from Word._x000a_Double click to enable pasting." sqref="B58:I62 B48:I53 B38:I43 B30:I34" xr:uid="{00000000-0002-0000-1200-000000000000}"/>
    <dataValidation type="date" operator="greaterThan" allowBlank="1" showInputMessage="1" showErrorMessage="1" promptTitle="Date" prompt="Please enter the date in the format dd mmm yyy" sqref="M34:N34 M42:N43 M52:N53 M62:N62" xr:uid="{00000000-0002-0000-1200-000001000000}">
      <formula1>43607</formula1>
    </dataValidation>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12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84348CBB-E9D6-4A64-96E8-4B3A8EC80627}">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30A011F3-6D5A-4439-BDBE-B6C94488632E}">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96FA087E-908F-4E9C-AB38-D35D01EE5335}">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DEB713D4-4BBF-427B-836D-D31DB0D66899}">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020E221B-91A1-4C74-95AD-2295728F5E6B}">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6255CCD1-9022-4CB6-8679-4726DFF6C214}">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B9B084A0-506D-4906-98DA-9ED34D6B0C58}">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C99E73D8-F23F-4784-A1D4-0A676A481E92}">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BD3E9E5C-0ADD-481A-BE62-87FACB933F67}">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FF27A903-984B-451C-8DCE-8185EB0285BD}">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8B6DDA8F-CF42-4893-AEC6-9B49D6E8E872}">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23FE067E-10C2-4059-9B85-B1360170A964}">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D5B2E4AB-5CC9-4B20-8D49-CD8B6B4850EA}">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D013124B-9411-4B7C-92C0-D26AC59EBE4F}">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410EFCCF-EB73-4CE8-82DF-E4B3AC9AE79B}">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2A892F41-93E2-4163-87B3-28C892EBF435}">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D9722F7A-9340-4B0D-AE70-3465DF343D59}">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DBF7B67C-1D21-47A8-A142-5836A2DBEEEF}">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F72C9D5F-DFA4-48B2-BECA-0B97367C4718}">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0135C99E-2499-4958-9A66-DFFEDC5CE1D4}">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Work Location(s)" prompt="Please select the MAIN work location(s) you have been based at during this period._x000a__x000a_N.B. Warwick University is JLR Research at Warwick" xr:uid="{00000000-0002-0000-1200-000003000000}">
          <x14:formula1>
            <xm:f>'Drop Down Lists'!$G$2:$G$21</xm:f>
          </x14:formula1>
          <xm:sqref>K5:N6</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1200-000004000000}">
          <x14:formula1>
            <xm:f>'Drop Down Lists'!$A$22:$A$26</xm:f>
          </x14:formula1>
          <xm:sqref>N10:N26</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1200-000005000000}">
          <x14:formula1>
            <xm:f>'Drop Down Lists'!$A$2:$A$3</xm:f>
          </x14:formula1>
          <xm:sqref>I44 I54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1200-000006000000}">
          <x14:formula1>
            <xm:f>'Drop Down Lists'!$A$2:$A$3</xm:f>
          </x14:formula1>
          <xm:sqref>E44 E54</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1200-000007000000}">
          <x14:formula1>
            <xm:f>'Drop Down Lists'!$A$2:$A$3</xm:f>
          </x14:formula1>
          <xm:sqref>C44 C54</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1200-000008000000}">
          <x14:formula1>
            <xm:f>'Drop Down Lists'!$A$22:$A$26</xm:f>
          </x14:formula1>
          <xm:sqref>M10:M26</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1200-000009000000}">
          <x14:formula1>
            <xm:f>'Drop Down Lists'!$A$22:$A$26</xm:f>
          </x14:formula1>
          <xm:sqref>L10:L26</xm:sqref>
        </x14:dataValidation>
        <x14:dataValidation type="list" allowBlank="1" showInputMessage="1" showErrorMessage="1" promptTitle="Attendance" prompt="Attendance &amp; Engagement with the programme:_x000a_Excellent (90-100%)_x000a_Satisfactory (80-90%)_x000a_Concerning (&lt;80%)" xr:uid="{00000000-0002-0000-1200-00000A000000}">
          <x14:formula1>
            <xm:f>'Drop Down Lists'!$A$38:$A$40</xm:f>
          </x14:formula1>
          <xm:sqref>G54 G44</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pageSetUpPr fitToPage="1"/>
  </sheetPr>
  <dimension ref="A1:AP168"/>
  <sheetViews>
    <sheetView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Y4 R2</v>
      </c>
      <c r="B1" s="19"/>
      <c r="C1" s="19"/>
      <c r="D1" s="19"/>
      <c r="E1" s="19"/>
      <c r="F1" s="19"/>
      <c r="G1" s="19"/>
      <c r="H1" s="19"/>
      <c r="I1" s="19"/>
      <c r="J1" s="19"/>
      <c r="K1" s="223"/>
      <c r="L1" s="529" t="s">
        <v>256</v>
      </c>
      <c r="M1" s="529"/>
      <c r="N1" s="318">
        <f ca="1">TODAY()</f>
        <v>43969</v>
      </c>
      <c r="O1" s="20"/>
    </row>
    <row r="2" spans="1:42" ht="35" x14ac:dyDescent="0.35">
      <c r="A2" s="14"/>
      <c r="B2" s="465" t="s">
        <v>323</v>
      </c>
      <c r="C2" s="465"/>
      <c r="D2" s="465"/>
      <c r="E2" s="465"/>
      <c r="F2" s="465"/>
      <c r="G2" s="465"/>
      <c r="H2" s="465"/>
      <c r="I2" s="465"/>
      <c r="J2" s="465"/>
      <c r="K2" s="465"/>
      <c r="L2" s="465"/>
      <c r="M2" s="465"/>
      <c r="N2" s="465"/>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36" t="s">
        <v>254</v>
      </c>
      <c r="L4" s="537"/>
      <c r="M4" s="537"/>
      <c r="N4" s="53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19" t="s">
        <v>211</v>
      </c>
      <c r="C5" s="421"/>
      <c r="D5" s="530" t="str">
        <f>'Front Sheet'!C5:C6</f>
        <v>Philip</v>
      </c>
      <c r="E5" s="532" t="str">
        <f>'Front Sheet'!D5:D6</f>
        <v>McGaw</v>
      </c>
      <c r="F5" s="534" t="str">
        <f>'Front Sheet'!G2</f>
        <v>pmcgaw</v>
      </c>
      <c r="G5" s="119">
        <f>'Front Sheet'!J5</f>
        <v>83137730</v>
      </c>
      <c r="H5" s="15"/>
      <c r="I5" s="25"/>
      <c r="J5" s="15"/>
      <c r="K5" s="539"/>
      <c r="L5" s="540"/>
      <c r="M5" s="540"/>
      <c r="N5" s="541"/>
      <c r="O5" s="16"/>
    </row>
    <row r="6" spans="1:42" ht="18" customHeight="1" thickBot="1" x14ac:dyDescent="0.25">
      <c r="A6" s="14"/>
      <c r="B6" s="422"/>
      <c r="C6" s="424"/>
      <c r="D6" s="531"/>
      <c r="E6" s="533"/>
      <c r="F6" s="535"/>
      <c r="G6" s="120">
        <f>'Front Sheet'!J6</f>
        <v>0</v>
      </c>
      <c r="H6" s="15"/>
      <c r="I6" s="25"/>
      <c r="J6" s="15"/>
      <c r="K6" s="542"/>
      <c r="L6" s="543"/>
      <c r="M6" s="543"/>
      <c r="N6" s="544"/>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499" t="s">
        <v>232</v>
      </c>
      <c r="C9" s="527"/>
      <c r="D9" s="527"/>
      <c r="E9" s="527"/>
      <c r="F9" s="527"/>
      <c r="G9" s="527"/>
      <c r="H9" s="527"/>
      <c r="I9" s="528"/>
      <c r="J9" s="15"/>
      <c r="K9" s="26" t="s">
        <v>136</v>
      </c>
      <c r="L9" s="89" t="s">
        <v>126</v>
      </c>
      <c r="M9" s="89" t="s">
        <v>128</v>
      </c>
      <c r="N9" s="96" t="s">
        <v>127</v>
      </c>
      <c r="O9" s="16"/>
      <c r="P9" s="165"/>
      <c r="Q9" s="165"/>
      <c r="R9" s="165"/>
      <c r="S9" s="165"/>
      <c r="T9" s="165"/>
    </row>
    <row r="10" spans="1:42" ht="22.25" customHeight="1" x14ac:dyDescent="0.2">
      <c r="A10" s="14"/>
      <c r="B10" s="502"/>
      <c r="C10" s="503"/>
      <c r="D10" s="503"/>
      <c r="E10" s="503"/>
      <c r="F10" s="503"/>
      <c r="G10" s="503"/>
      <c r="H10" s="503"/>
      <c r="I10" s="504"/>
      <c r="J10" s="15"/>
      <c r="K10" s="27" t="s">
        <v>109</v>
      </c>
      <c r="L10" s="170"/>
      <c r="M10" s="171"/>
      <c r="N10" s="172"/>
      <c r="O10" s="16"/>
    </row>
    <row r="11" spans="1:42" ht="22.25" customHeight="1" x14ac:dyDescent="0.2">
      <c r="A11" s="14"/>
      <c r="B11" s="505"/>
      <c r="C11" s="506"/>
      <c r="D11" s="506"/>
      <c r="E11" s="506"/>
      <c r="F11" s="506"/>
      <c r="G11" s="506"/>
      <c r="H11" s="506"/>
      <c r="I11" s="507"/>
      <c r="J11" s="15"/>
      <c r="K11" s="28" t="s">
        <v>110</v>
      </c>
      <c r="L11" s="173"/>
      <c r="M11" s="173"/>
      <c r="N11" s="174"/>
      <c r="O11" s="16"/>
    </row>
    <row r="12" spans="1:42" ht="22.25" customHeight="1" x14ac:dyDescent="0.2">
      <c r="A12" s="14"/>
      <c r="B12" s="505"/>
      <c r="C12" s="506"/>
      <c r="D12" s="506"/>
      <c r="E12" s="506"/>
      <c r="F12" s="506"/>
      <c r="G12" s="506"/>
      <c r="H12" s="506"/>
      <c r="I12" s="507"/>
      <c r="J12" s="15"/>
      <c r="K12" s="28" t="s">
        <v>111</v>
      </c>
      <c r="L12" s="173"/>
      <c r="M12" s="173"/>
      <c r="N12" s="174"/>
      <c r="O12" s="16"/>
    </row>
    <row r="13" spans="1:42" ht="22.25" customHeight="1" x14ac:dyDescent="0.2">
      <c r="A13" s="14"/>
      <c r="B13" s="505"/>
      <c r="C13" s="506"/>
      <c r="D13" s="506"/>
      <c r="E13" s="506"/>
      <c r="F13" s="506"/>
      <c r="G13" s="506"/>
      <c r="H13" s="506"/>
      <c r="I13" s="507"/>
      <c r="J13" s="15"/>
      <c r="K13" s="28" t="s">
        <v>112</v>
      </c>
      <c r="L13" s="173"/>
      <c r="M13" s="173"/>
      <c r="N13" s="174"/>
      <c r="O13" s="16"/>
    </row>
    <row r="14" spans="1:42" ht="22.25" customHeight="1" x14ac:dyDescent="0.2">
      <c r="A14" s="14"/>
      <c r="B14" s="505"/>
      <c r="C14" s="506"/>
      <c r="D14" s="506"/>
      <c r="E14" s="506"/>
      <c r="F14" s="506"/>
      <c r="G14" s="506"/>
      <c r="H14" s="506"/>
      <c r="I14" s="507"/>
      <c r="J14" s="15"/>
      <c r="K14" s="28" t="s">
        <v>113</v>
      </c>
      <c r="L14" s="173"/>
      <c r="M14" s="173"/>
      <c r="N14" s="174"/>
      <c r="O14" s="16"/>
    </row>
    <row r="15" spans="1:42" ht="22.25" customHeight="1" x14ac:dyDescent="0.2">
      <c r="A15" s="14"/>
      <c r="B15" s="505"/>
      <c r="C15" s="506"/>
      <c r="D15" s="506"/>
      <c r="E15" s="506"/>
      <c r="F15" s="506"/>
      <c r="G15" s="506"/>
      <c r="H15" s="506"/>
      <c r="I15" s="507"/>
      <c r="J15" s="15"/>
      <c r="K15" s="28" t="s">
        <v>114</v>
      </c>
      <c r="L15" s="173"/>
      <c r="M15" s="173"/>
      <c r="N15" s="174"/>
      <c r="O15" s="16"/>
    </row>
    <row r="16" spans="1:42" ht="22.25" customHeight="1" x14ac:dyDescent="0.2">
      <c r="A16" s="14"/>
      <c r="B16" s="505"/>
      <c r="C16" s="506"/>
      <c r="D16" s="506"/>
      <c r="E16" s="506"/>
      <c r="F16" s="506"/>
      <c r="G16" s="506"/>
      <c r="H16" s="506"/>
      <c r="I16" s="507"/>
      <c r="J16" s="15"/>
      <c r="K16" s="28" t="s">
        <v>115</v>
      </c>
      <c r="L16" s="173"/>
      <c r="M16" s="173"/>
      <c r="N16" s="174"/>
      <c r="O16" s="16"/>
    </row>
    <row r="17" spans="1:42" ht="22.25" customHeight="1" x14ac:dyDescent="0.2">
      <c r="A17" s="14"/>
      <c r="B17" s="505"/>
      <c r="C17" s="506"/>
      <c r="D17" s="506"/>
      <c r="E17" s="506"/>
      <c r="F17" s="506"/>
      <c r="G17" s="506"/>
      <c r="H17" s="506"/>
      <c r="I17" s="507"/>
      <c r="J17" s="15"/>
      <c r="K17" s="28" t="s">
        <v>116</v>
      </c>
      <c r="L17" s="173"/>
      <c r="M17" s="173"/>
      <c r="N17" s="174"/>
      <c r="O17" s="16"/>
    </row>
    <row r="18" spans="1:42" ht="22.25" customHeight="1" x14ac:dyDescent="0.2">
      <c r="A18" s="14"/>
      <c r="B18" s="505"/>
      <c r="C18" s="506"/>
      <c r="D18" s="506"/>
      <c r="E18" s="506"/>
      <c r="F18" s="506"/>
      <c r="G18" s="506"/>
      <c r="H18" s="506"/>
      <c r="I18" s="507"/>
      <c r="J18" s="15"/>
      <c r="K18" s="28" t="s">
        <v>117</v>
      </c>
      <c r="L18" s="173"/>
      <c r="M18" s="173"/>
      <c r="N18" s="174"/>
      <c r="O18" s="16"/>
    </row>
    <row r="19" spans="1:42" ht="22.25" customHeight="1" x14ac:dyDescent="0.2">
      <c r="A19" s="14"/>
      <c r="B19" s="505"/>
      <c r="C19" s="506"/>
      <c r="D19" s="506"/>
      <c r="E19" s="506"/>
      <c r="F19" s="506"/>
      <c r="G19" s="506"/>
      <c r="H19" s="506"/>
      <c r="I19" s="507"/>
      <c r="J19" s="15"/>
      <c r="K19" s="28" t="s">
        <v>118</v>
      </c>
      <c r="L19" s="173"/>
      <c r="M19" s="173"/>
      <c r="N19" s="174"/>
      <c r="O19" s="16"/>
    </row>
    <row r="20" spans="1:42" ht="22.25" customHeight="1" x14ac:dyDescent="0.2">
      <c r="A20" s="14"/>
      <c r="B20" s="505"/>
      <c r="C20" s="506"/>
      <c r="D20" s="506"/>
      <c r="E20" s="506"/>
      <c r="F20" s="506"/>
      <c r="G20" s="506"/>
      <c r="H20" s="506"/>
      <c r="I20" s="507"/>
      <c r="J20" s="15"/>
      <c r="K20" s="28" t="s">
        <v>119</v>
      </c>
      <c r="L20" s="173"/>
      <c r="M20" s="173"/>
      <c r="N20" s="174"/>
      <c r="O20" s="16"/>
    </row>
    <row r="21" spans="1:42" ht="22.25" customHeight="1" x14ac:dyDescent="0.2">
      <c r="A21" s="14"/>
      <c r="B21" s="505"/>
      <c r="C21" s="506"/>
      <c r="D21" s="506"/>
      <c r="E21" s="506"/>
      <c r="F21" s="506"/>
      <c r="G21" s="506"/>
      <c r="H21" s="506"/>
      <c r="I21" s="507"/>
      <c r="J21" s="15"/>
      <c r="K21" s="28" t="s">
        <v>120</v>
      </c>
      <c r="L21" s="173"/>
      <c r="M21" s="173"/>
      <c r="N21" s="174"/>
      <c r="O21" s="16"/>
    </row>
    <row r="22" spans="1:42" ht="22.25" customHeight="1" x14ac:dyDescent="0.2">
      <c r="A22" s="14"/>
      <c r="B22" s="505"/>
      <c r="C22" s="506"/>
      <c r="D22" s="506"/>
      <c r="E22" s="506"/>
      <c r="F22" s="506"/>
      <c r="G22" s="506"/>
      <c r="H22" s="506"/>
      <c r="I22" s="507"/>
      <c r="J22" s="15"/>
      <c r="K22" s="28" t="s">
        <v>121</v>
      </c>
      <c r="L22" s="173"/>
      <c r="M22" s="173"/>
      <c r="N22" s="174"/>
      <c r="O22" s="16"/>
    </row>
    <row r="23" spans="1:42" ht="22.25" customHeight="1" x14ac:dyDescent="0.2">
      <c r="A23" s="14"/>
      <c r="B23" s="505"/>
      <c r="C23" s="506"/>
      <c r="D23" s="506"/>
      <c r="E23" s="506"/>
      <c r="F23" s="506"/>
      <c r="G23" s="506"/>
      <c r="H23" s="506"/>
      <c r="I23" s="507"/>
      <c r="J23" s="15"/>
      <c r="K23" s="28" t="s">
        <v>122</v>
      </c>
      <c r="L23" s="173"/>
      <c r="M23" s="173"/>
      <c r="N23" s="174"/>
      <c r="O23" s="16"/>
    </row>
    <row r="24" spans="1:42" ht="22.25" customHeight="1" x14ac:dyDescent="0.2">
      <c r="A24" s="14"/>
      <c r="B24" s="505"/>
      <c r="C24" s="506"/>
      <c r="D24" s="506"/>
      <c r="E24" s="506"/>
      <c r="F24" s="506"/>
      <c r="G24" s="506"/>
      <c r="H24" s="506"/>
      <c r="I24" s="507"/>
      <c r="J24" s="15"/>
      <c r="K24" s="28" t="s">
        <v>123</v>
      </c>
      <c r="L24" s="173"/>
      <c r="M24" s="173"/>
      <c r="N24" s="174"/>
      <c r="O24" s="16"/>
    </row>
    <row r="25" spans="1:42" ht="22.25" customHeight="1" x14ac:dyDescent="0.2">
      <c r="A25" s="14"/>
      <c r="B25" s="505"/>
      <c r="C25" s="506"/>
      <c r="D25" s="506"/>
      <c r="E25" s="506"/>
      <c r="F25" s="506"/>
      <c r="G25" s="506"/>
      <c r="H25" s="506"/>
      <c r="I25" s="507"/>
      <c r="J25" s="15"/>
      <c r="K25" s="28" t="s">
        <v>124</v>
      </c>
      <c r="L25" s="173"/>
      <c r="M25" s="173"/>
      <c r="N25" s="174"/>
      <c r="O25" s="16"/>
    </row>
    <row r="26" spans="1:42" ht="22.25" customHeight="1" thickBot="1" x14ac:dyDescent="0.25">
      <c r="A26" s="14"/>
      <c r="B26" s="508"/>
      <c r="C26" s="509"/>
      <c r="D26" s="509"/>
      <c r="E26" s="509"/>
      <c r="F26" s="509"/>
      <c r="G26" s="509"/>
      <c r="H26" s="509"/>
      <c r="I26" s="510"/>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497" t="s">
        <v>134</v>
      </c>
      <c r="C28" s="498"/>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499" t="s">
        <v>137</v>
      </c>
      <c r="C29" s="500"/>
      <c r="D29" s="500"/>
      <c r="E29" s="500"/>
      <c r="F29" s="500"/>
      <c r="G29" s="500"/>
      <c r="H29" s="500"/>
      <c r="I29" s="501"/>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02"/>
      <c r="C30" s="503"/>
      <c r="D30" s="503"/>
      <c r="E30" s="503"/>
      <c r="F30" s="503"/>
      <c r="G30" s="503"/>
      <c r="H30" s="503"/>
      <c r="I30" s="504"/>
      <c r="J30" s="15"/>
      <c r="K30" s="515" t="s">
        <v>97</v>
      </c>
      <c r="L30" s="516"/>
      <c r="M30" s="519"/>
      <c r="N30" s="520"/>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05"/>
      <c r="C31" s="506"/>
      <c r="D31" s="506"/>
      <c r="E31" s="506"/>
      <c r="F31" s="506"/>
      <c r="G31" s="506"/>
      <c r="H31" s="506"/>
      <c r="I31" s="507"/>
      <c r="J31" s="15"/>
      <c r="K31" s="517"/>
      <c r="L31" s="518"/>
      <c r="M31" s="521"/>
      <c r="N31" s="522"/>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05"/>
      <c r="C32" s="506"/>
      <c r="D32" s="506"/>
      <c r="E32" s="506"/>
      <c r="F32" s="506"/>
      <c r="G32" s="506"/>
      <c r="H32" s="506"/>
      <c r="I32" s="507"/>
      <c r="J32" s="15"/>
      <c r="K32" s="517" t="s">
        <v>98</v>
      </c>
      <c r="L32" s="518"/>
      <c r="M32" s="521"/>
      <c r="N32" s="522"/>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05"/>
      <c r="C33" s="506"/>
      <c r="D33" s="506"/>
      <c r="E33" s="506"/>
      <c r="F33" s="506"/>
      <c r="G33" s="506"/>
      <c r="H33" s="506"/>
      <c r="I33" s="507"/>
      <c r="J33" s="15"/>
      <c r="K33" s="517"/>
      <c r="L33" s="518"/>
      <c r="M33" s="521"/>
      <c r="N33" s="522"/>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08"/>
      <c r="C34" s="509"/>
      <c r="D34" s="509"/>
      <c r="E34" s="509"/>
      <c r="F34" s="509"/>
      <c r="G34" s="509"/>
      <c r="H34" s="509"/>
      <c r="I34" s="510"/>
      <c r="J34" s="15"/>
      <c r="K34" s="511" t="s">
        <v>10</v>
      </c>
      <c r="L34" s="512"/>
      <c r="M34" s="513"/>
      <c r="N34" s="51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497" t="s">
        <v>223</v>
      </c>
      <c r="C36" s="498"/>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499" t="s">
        <v>231</v>
      </c>
      <c r="C37" s="500"/>
      <c r="D37" s="500"/>
      <c r="E37" s="500"/>
      <c r="F37" s="500"/>
      <c r="G37" s="500"/>
      <c r="H37" s="500"/>
      <c r="I37" s="501"/>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02"/>
      <c r="C38" s="503"/>
      <c r="D38" s="503"/>
      <c r="E38" s="503"/>
      <c r="F38" s="503"/>
      <c r="G38" s="503"/>
      <c r="H38" s="503"/>
      <c r="I38" s="504"/>
      <c r="J38" s="15"/>
      <c r="K38" s="515" t="s">
        <v>97</v>
      </c>
      <c r="L38" s="516"/>
      <c r="M38" s="519"/>
      <c r="N38" s="520"/>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05"/>
      <c r="C39" s="506"/>
      <c r="D39" s="506"/>
      <c r="E39" s="506"/>
      <c r="F39" s="506"/>
      <c r="G39" s="506"/>
      <c r="H39" s="506"/>
      <c r="I39" s="507"/>
      <c r="J39" s="15"/>
      <c r="K39" s="517"/>
      <c r="L39" s="518"/>
      <c r="M39" s="521"/>
      <c r="N39" s="522"/>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05"/>
      <c r="C40" s="506"/>
      <c r="D40" s="506"/>
      <c r="E40" s="506"/>
      <c r="F40" s="506"/>
      <c r="G40" s="506"/>
      <c r="H40" s="506"/>
      <c r="I40" s="507"/>
      <c r="J40" s="15"/>
      <c r="K40" s="517" t="s">
        <v>157</v>
      </c>
      <c r="L40" s="518"/>
      <c r="M40" s="521"/>
      <c r="N40" s="522"/>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05"/>
      <c r="C41" s="506"/>
      <c r="D41" s="506"/>
      <c r="E41" s="506"/>
      <c r="F41" s="506"/>
      <c r="G41" s="506"/>
      <c r="H41" s="506"/>
      <c r="I41" s="507"/>
      <c r="J41" s="15"/>
      <c r="K41" s="517"/>
      <c r="L41" s="518"/>
      <c r="M41" s="521"/>
      <c r="N41" s="522"/>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05"/>
      <c r="C42" s="506"/>
      <c r="D42" s="506"/>
      <c r="E42" s="506"/>
      <c r="F42" s="506"/>
      <c r="G42" s="506"/>
      <c r="H42" s="506"/>
      <c r="I42" s="507"/>
      <c r="J42" s="15"/>
      <c r="K42" s="523" t="s">
        <v>10</v>
      </c>
      <c r="L42" s="524"/>
      <c r="M42" s="525"/>
      <c r="N42" s="526"/>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05"/>
      <c r="C43" s="506"/>
      <c r="D43" s="509"/>
      <c r="E43" s="509"/>
      <c r="F43" s="509"/>
      <c r="G43" s="509"/>
      <c r="H43" s="509"/>
      <c r="I43" s="510"/>
      <c r="J43" s="15"/>
      <c r="K43" s="511" t="s">
        <v>260</v>
      </c>
      <c r="L43" s="512"/>
      <c r="M43" s="513"/>
      <c r="N43" s="51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497" t="s">
        <v>223</v>
      </c>
      <c r="C46" s="498"/>
      <c r="D46" s="24"/>
      <c r="E46" s="24"/>
      <c r="F46" s="24"/>
      <c r="G46" s="24"/>
      <c r="H46" s="24"/>
      <c r="I46" s="15"/>
      <c r="J46" s="15"/>
      <c r="K46" s="15"/>
      <c r="L46" s="24"/>
      <c r="M46" s="24"/>
      <c r="N46" s="24"/>
      <c r="O46" s="16"/>
    </row>
    <row r="47" spans="1:42" ht="51" customHeight="1" thickBot="1" x14ac:dyDescent="0.25">
      <c r="A47" s="14"/>
      <c r="B47" s="499" t="s">
        <v>230</v>
      </c>
      <c r="C47" s="500"/>
      <c r="D47" s="500"/>
      <c r="E47" s="500"/>
      <c r="F47" s="500"/>
      <c r="G47" s="500"/>
      <c r="H47" s="500"/>
      <c r="I47" s="501"/>
      <c r="J47" s="15"/>
      <c r="K47" s="15"/>
      <c r="L47" s="24"/>
      <c r="M47" s="24"/>
      <c r="N47" s="24"/>
      <c r="O47" s="16"/>
    </row>
    <row r="48" spans="1:42" ht="22.25" customHeight="1" x14ac:dyDescent="0.2">
      <c r="A48" s="14"/>
      <c r="B48" s="502"/>
      <c r="C48" s="503"/>
      <c r="D48" s="503"/>
      <c r="E48" s="503"/>
      <c r="F48" s="503"/>
      <c r="G48" s="503"/>
      <c r="H48" s="503"/>
      <c r="I48" s="504"/>
      <c r="J48" s="15"/>
      <c r="K48" s="515" t="s">
        <v>97</v>
      </c>
      <c r="L48" s="516"/>
      <c r="M48" s="519"/>
      <c r="N48" s="520"/>
      <c r="O48" s="16"/>
    </row>
    <row r="49" spans="1:15" ht="22.25" customHeight="1" x14ac:dyDescent="0.2">
      <c r="A49" s="14"/>
      <c r="B49" s="505"/>
      <c r="C49" s="506"/>
      <c r="D49" s="506"/>
      <c r="E49" s="506"/>
      <c r="F49" s="506"/>
      <c r="G49" s="506"/>
      <c r="H49" s="506"/>
      <c r="I49" s="507"/>
      <c r="J49" s="15"/>
      <c r="K49" s="517"/>
      <c r="L49" s="518"/>
      <c r="M49" s="521"/>
      <c r="N49" s="522"/>
      <c r="O49" s="16"/>
    </row>
    <row r="50" spans="1:15" ht="22.25" customHeight="1" x14ac:dyDescent="0.2">
      <c r="A50" s="14"/>
      <c r="B50" s="505"/>
      <c r="C50" s="506"/>
      <c r="D50" s="506"/>
      <c r="E50" s="506"/>
      <c r="F50" s="506"/>
      <c r="G50" s="506"/>
      <c r="H50" s="506"/>
      <c r="I50" s="507"/>
      <c r="J50" s="15"/>
      <c r="K50" s="517" t="s">
        <v>157</v>
      </c>
      <c r="L50" s="518"/>
      <c r="M50" s="521"/>
      <c r="N50" s="522"/>
      <c r="O50" s="16"/>
    </row>
    <row r="51" spans="1:15" ht="22.25" customHeight="1" x14ac:dyDescent="0.2">
      <c r="A51" s="14"/>
      <c r="B51" s="505"/>
      <c r="C51" s="506"/>
      <c r="D51" s="506"/>
      <c r="E51" s="506"/>
      <c r="F51" s="506"/>
      <c r="G51" s="506"/>
      <c r="H51" s="506"/>
      <c r="I51" s="507"/>
      <c r="J51" s="15"/>
      <c r="K51" s="517"/>
      <c r="L51" s="518"/>
      <c r="M51" s="521"/>
      <c r="N51" s="522"/>
      <c r="O51" s="16"/>
    </row>
    <row r="52" spans="1:15" ht="22.25" customHeight="1" x14ac:dyDescent="0.2">
      <c r="A52" s="14"/>
      <c r="B52" s="505"/>
      <c r="C52" s="506"/>
      <c r="D52" s="506"/>
      <c r="E52" s="506"/>
      <c r="F52" s="506"/>
      <c r="G52" s="506"/>
      <c r="H52" s="506"/>
      <c r="I52" s="507"/>
      <c r="J52" s="15"/>
      <c r="K52" s="523" t="s">
        <v>10</v>
      </c>
      <c r="L52" s="524"/>
      <c r="M52" s="525"/>
      <c r="N52" s="526"/>
      <c r="O52" s="16"/>
    </row>
    <row r="53" spans="1:15" ht="22.25" customHeight="1" thickBot="1" x14ac:dyDescent="0.25">
      <c r="A53" s="14"/>
      <c r="B53" s="508"/>
      <c r="C53" s="509"/>
      <c r="D53" s="509"/>
      <c r="E53" s="509"/>
      <c r="F53" s="509"/>
      <c r="G53" s="509"/>
      <c r="H53" s="509"/>
      <c r="I53" s="510"/>
      <c r="J53" s="15"/>
      <c r="K53" s="511" t="s">
        <v>259</v>
      </c>
      <c r="L53" s="512"/>
      <c r="M53" s="513"/>
      <c r="N53" s="51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497" t="s">
        <v>135</v>
      </c>
      <c r="C56" s="498"/>
      <c r="D56" s="24"/>
      <c r="E56" s="24"/>
      <c r="F56" s="24"/>
      <c r="G56" s="24"/>
      <c r="H56" s="24"/>
      <c r="I56" s="15"/>
      <c r="J56" s="15"/>
      <c r="K56" s="15"/>
      <c r="L56" s="24"/>
      <c r="M56" s="24"/>
      <c r="N56" s="24"/>
      <c r="O56" s="16"/>
    </row>
    <row r="57" spans="1:15" ht="36" customHeight="1" thickBot="1" x14ac:dyDescent="0.25">
      <c r="A57" s="14"/>
      <c r="B57" s="499" t="s">
        <v>156</v>
      </c>
      <c r="C57" s="500"/>
      <c r="D57" s="500"/>
      <c r="E57" s="500"/>
      <c r="F57" s="500"/>
      <c r="G57" s="500"/>
      <c r="H57" s="500"/>
      <c r="I57" s="501"/>
      <c r="J57" s="15"/>
      <c r="K57" s="15"/>
      <c r="L57" s="24"/>
      <c r="M57" s="24"/>
      <c r="N57" s="24"/>
      <c r="O57" s="16"/>
    </row>
    <row r="58" spans="1:15" ht="22.25" customHeight="1" x14ac:dyDescent="0.2">
      <c r="A58" s="14"/>
      <c r="B58" s="502"/>
      <c r="C58" s="503"/>
      <c r="D58" s="503"/>
      <c r="E58" s="503"/>
      <c r="F58" s="503"/>
      <c r="G58" s="503"/>
      <c r="H58" s="503"/>
      <c r="I58" s="504"/>
      <c r="J58" s="15"/>
      <c r="K58" s="515" t="s">
        <v>97</v>
      </c>
      <c r="L58" s="516"/>
      <c r="M58" s="519"/>
      <c r="N58" s="520"/>
      <c r="O58" s="16"/>
    </row>
    <row r="59" spans="1:15" ht="22.25" customHeight="1" x14ac:dyDescent="0.2">
      <c r="A59" s="14"/>
      <c r="B59" s="505"/>
      <c r="C59" s="506"/>
      <c r="D59" s="506"/>
      <c r="E59" s="506"/>
      <c r="F59" s="506"/>
      <c r="G59" s="506"/>
      <c r="H59" s="506"/>
      <c r="I59" s="507"/>
      <c r="J59" s="15"/>
      <c r="K59" s="517"/>
      <c r="L59" s="518"/>
      <c r="M59" s="521"/>
      <c r="N59" s="522"/>
      <c r="O59" s="16"/>
    </row>
    <row r="60" spans="1:15" ht="22.25" customHeight="1" x14ac:dyDescent="0.2">
      <c r="A60" s="14"/>
      <c r="B60" s="505"/>
      <c r="C60" s="506"/>
      <c r="D60" s="506"/>
      <c r="E60" s="506"/>
      <c r="F60" s="506"/>
      <c r="G60" s="506"/>
      <c r="H60" s="506"/>
      <c r="I60" s="507"/>
      <c r="J60" s="15"/>
      <c r="K60" s="517" t="s">
        <v>158</v>
      </c>
      <c r="L60" s="518"/>
      <c r="M60" s="521"/>
      <c r="N60" s="522"/>
      <c r="O60" s="16"/>
    </row>
    <row r="61" spans="1:15" ht="22.25" customHeight="1" x14ac:dyDescent="0.2">
      <c r="A61" s="14"/>
      <c r="B61" s="505"/>
      <c r="C61" s="506"/>
      <c r="D61" s="506"/>
      <c r="E61" s="506"/>
      <c r="F61" s="506"/>
      <c r="G61" s="506"/>
      <c r="H61" s="506"/>
      <c r="I61" s="507"/>
      <c r="J61" s="15"/>
      <c r="K61" s="517"/>
      <c r="L61" s="518"/>
      <c r="M61" s="521"/>
      <c r="N61" s="522"/>
      <c r="O61" s="16"/>
    </row>
    <row r="62" spans="1:15" ht="22.25" customHeight="1" thickBot="1" x14ac:dyDescent="0.25">
      <c r="A62" s="14"/>
      <c r="B62" s="508"/>
      <c r="C62" s="509"/>
      <c r="D62" s="509"/>
      <c r="E62" s="509"/>
      <c r="F62" s="509"/>
      <c r="G62" s="509"/>
      <c r="H62" s="509"/>
      <c r="I62" s="510"/>
      <c r="J62" s="15"/>
      <c r="K62" s="511" t="s">
        <v>10</v>
      </c>
      <c r="L62" s="512"/>
      <c r="M62" s="513"/>
      <c r="N62" s="51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1300-000000000000}"/>
    <dataValidation type="date" operator="greaterThan" allowBlank="1" showInputMessage="1" showErrorMessage="1" promptTitle="Date" prompt="Please enter the date in the format dd mmm yyy" sqref="M34:N34 M42:N43 M52:N53 M62:N62" xr:uid="{00000000-0002-0000-1300-000001000000}">
      <formula1>43607</formula1>
    </dataValidation>
    <dataValidation allowBlank="1" showInputMessage="1" showErrorMessage="1" promptTitle="Copy &amp; Paste from Word" prompt="To allow some splitting of text copy and paste paragraphs from Word._x000a_Double click to enable pasting." sqref="B58:I62 B48:I53 B38:I43 B30:I34" xr:uid="{00000000-0002-0000-13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69E13728-E7D6-4F88-9843-24C7E4CF3261}">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B66B154E-4758-4091-AE4A-CD2AC3AA1362}">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DEE7F0B8-C6E9-4B22-B773-708252264085}">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9E319C6A-EB6A-4C9D-9D07-5EB1189EB633}">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4683AA51-EB50-49A8-B8C7-2174AF5E9EF7}">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7EDF53E9-120E-4691-A06C-8A86A492A8DD}">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FEEF40C9-D9BE-47C0-AD8A-B0C55ED348B1}">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44AD8BCE-EA58-413C-91BD-F3C5110D1205}">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575C308D-8FF7-43F7-A21B-9706B6823144}">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EFA2F319-7770-49D8-9579-D9CF5F7D273D}">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BEB68236-5E37-473E-9E20-661CDA35AC47}">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F91B056B-6809-499D-B391-0C1D510E1C6F}">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41B29F1F-AADD-42DB-BB4E-875A48A966CA}">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27D0ECC7-CC4C-4CDB-A843-5B90F5DD1BB7}">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0F018206-5EFD-4B44-976C-BFFD328F9C22}">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02F37B60-53CC-4779-B822-254071879A46}">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9AAE76E2-E5F1-4DA2-B084-4DF44BDEAB30}">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D5108EC0-2279-4438-AC92-69028996516A}">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B818A443-54CB-4F19-880D-7F05E3A240BD}">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6D19A31B-2651-405A-A27A-1C7D5B1FC53A}">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Attendance" prompt="Attendance &amp; Engagement with the programme:_x000a_Excellent (90-100%)_x000a_Satisfactory (80-90%)_x000a_Concerning (&lt;80%)" xr:uid="{00000000-0002-0000-1300-000003000000}">
          <x14:formula1>
            <xm:f>'Drop Down Lists'!$A$38:$A$40</xm:f>
          </x14:formula1>
          <xm:sqref>G54 G44</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1300-000004000000}">
          <x14:formula1>
            <xm:f>'Drop Down Lists'!$A$22:$A$26</xm:f>
          </x14:formula1>
          <xm:sqref>L10:L26</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1300-000005000000}">
          <x14:formula1>
            <xm:f>'Drop Down Lists'!$A$22:$A$26</xm:f>
          </x14:formula1>
          <xm:sqref>M10:M26</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1300-000006000000}">
          <x14:formula1>
            <xm:f>'Drop Down Lists'!$A$2:$A$3</xm:f>
          </x14:formula1>
          <xm:sqref>C44 C54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1300-000007000000}">
          <x14:formula1>
            <xm:f>'Drop Down Lists'!$A$2:$A$3</xm:f>
          </x14:formula1>
          <xm:sqref>E44 E54</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1300-000008000000}">
          <x14:formula1>
            <xm:f>'Drop Down Lists'!$A$2:$A$3</xm:f>
          </x14:formula1>
          <xm:sqref>I44 I54</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1300-000009000000}">
          <x14:formula1>
            <xm:f>'Drop Down Lists'!$A$22:$A$26</xm:f>
          </x14:formula1>
          <xm:sqref>N10:N26</xm:sqref>
        </x14:dataValidation>
        <x14:dataValidation type="list" allowBlank="1" showInputMessage="1" showErrorMessage="1" promptTitle="Work Location(s)" prompt="Please select the MAIN work location(s) you have been based at during this period._x000a__x000a_N.B. Warwick University is JLR Research at Warwick" xr:uid="{00000000-0002-0000-1300-00000A000000}">
          <x14:formula1>
            <xm:f>'Drop Down Lists'!$G$2:$G$21</xm:f>
          </x14:formula1>
          <xm:sqref>K5:N6</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pageSetUpPr fitToPage="1"/>
  </sheetPr>
  <dimension ref="A1:AP168"/>
  <sheetViews>
    <sheetView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339" customWidth="1"/>
    <col min="12" max="14" width="13.1640625" style="340"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Y4 R3</v>
      </c>
      <c r="B1" s="19"/>
      <c r="C1" s="19"/>
      <c r="D1" s="19"/>
      <c r="E1" s="19"/>
      <c r="F1" s="19"/>
      <c r="G1" s="19"/>
      <c r="H1" s="19"/>
      <c r="I1" s="19"/>
      <c r="J1" s="19"/>
      <c r="K1" s="319"/>
      <c r="L1" s="557" t="s">
        <v>256</v>
      </c>
      <c r="M1" s="557"/>
      <c r="N1" s="318">
        <f ca="1">TODAY()</f>
        <v>43969</v>
      </c>
      <c r="O1" s="20"/>
    </row>
    <row r="2" spans="1:42" ht="35" x14ac:dyDescent="0.35">
      <c r="A2" s="14"/>
      <c r="B2" s="465" t="s">
        <v>324</v>
      </c>
      <c r="C2" s="465"/>
      <c r="D2" s="465"/>
      <c r="E2" s="465"/>
      <c r="F2" s="465"/>
      <c r="G2" s="465"/>
      <c r="H2" s="465"/>
      <c r="I2" s="465"/>
      <c r="J2" s="465"/>
      <c r="K2" s="465"/>
      <c r="L2" s="465"/>
      <c r="M2" s="465"/>
      <c r="N2" s="465"/>
      <c r="O2" s="16"/>
    </row>
    <row r="3" spans="1:42" ht="21.5" customHeight="1" thickBot="1" x14ac:dyDescent="0.25">
      <c r="A3" s="14"/>
      <c r="B3" s="17"/>
      <c r="C3" s="15"/>
      <c r="D3" s="15"/>
      <c r="E3" s="15"/>
      <c r="F3" s="15"/>
      <c r="G3" s="15"/>
      <c r="H3" s="15"/>
      <c r="I3" s="15"/>
      <c r="J3" s="15"/>
      <c r="K3" s="320"/>
      <c r="L3" s="321"/>
      <c r="M3" s="321"/>
      <c r="N3" s="321"/>
      <c r="O3" s="16"/>
    </row>
    <row r="4" spans="1:42" s="11" customFormat="1" ht="21" customHeight="1" thickBot="1" x14ac:dyDescent="0.25">
      <c r="A4" s="14"/>
      <c r="B4" s="18"/>
      <c r="C4" s="18"/>
      <c r="D4" s="116" t="s">
        <v>2</v>
      </c>
      <c r="E4" s="117" t="s">
        <v>3</v>
      </c>
      <c r="F4" s="118" t="s">
        <v>216</v>
      </c>
      <c r="G4" s="115" t="s">
        <v>255</v>
      </c>
      <c r="H4" s="15"/>
      <c r="I4" s="25"/>
      <c r="J4" s="15"/>
      <c r="K4" s="558" t="s">
        <v>254</v>
      </c>
      <c r="L4" s="559"/>
      <c r="M4" s="559"/>
      <c r="N4" s="560"/>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19" t="s">
        <v>211</v>
      </c>
      <c r="C5" s="421"/>
      <c r="D5" s="530" t="str">
        <f>'Front Sheet'!C5:C6</f>
        <v>Philip</v>
      </c>
      <c r="E5" s="532" t="str">
        <f>'Front Sheet'!D5:D6</f>
        <v>McGaw</v>
      </c>
      <c r="F5" s="534" t="str">
        <f>'Front Sheet'!G2</f>
        <v>pmcgaw</v>
      </c>
      <c r="G5" s="119">
        <f>'Front Sheet'!J5</f>
        <v>83137730</v>
      </c>
      <c r="H5" s="15"/>
      <c r="I5" s="25"/>
      <c r="J5" s="15"/>
      <c r="K5" s="561"/>
      <c r="L5" s="562"/>
      <c r="M5" s="562"/>
      <c r="N5" s="563"/>
      <c r="O5" s="16"/>
    </row>
    <row r="6" spans="1:42" ht="18" customHeight="1" thickBot="1" x14ac:dyDescent="0.25">
      <c r="A6" s="14"/>
      <c r="B6" s="422"/>
      <c r="C6" s="424"/>
      <c r="D6" s="531"/>
      <c r="E6" s="533"/>
      <c r="F6" s="535"/>
      <c r="G6" s="120">
        <f>'Front Sheet'!J6</f>
        <v>0</v>
      </c>
      <c r="H6" s="15"/>
      <c r="I6" s="25"/>
      <c r="J6" s="15"/>
      <c r="K6" s="564"/>
      <c r="L6" s="565"/>
      <c r="M6" s="565"/>
      <c r="N6" s="566"/>
      <c r="O6" s="16"/>
    </row>
    <row r="7" spans="1:42" ht="10.25" customHeight="1" thickBot="1" x14ac:dyDescent="0.25">
      <c r="A7" s="14"/>
      <c r="B7" s="15"/>
      <c r="C7" s="25"/>
      <c r="D7" s="25"/>
      <c r="E7" s="25"/>
      <c r="F7" s="25"/>
      <c r="G7" s="25"/>
      <c r="H7" s="15"/>
      <c r="I7" s="25"/>
      <c r="J7" s="15"/>
      <c r="K7" s="322"/>
      <c r="L7" s="321"/>
      <c r="M7" s="321"/>
      <c r="N7" s="321"/>
      <c r="O7" s="16"/>
    </row>
    <row r="8" spans="1:42" ht="22.25" customHeight="1" thickBot="1" x14ac:dyDescent="0.25">
      <c r="A8" s="14"/>
      <c r="B8" s="30" t="s">
        <v>229</v>
      </c>
      <c r="C8" s="15"/>
      <c r="D8" s="15"/>
      <c r="E8" s="15"/>
      <c r="F8" s="15"/>
      <c r="G8" s="15"/>
      <c r="H8" s="15"/>
      <c r="I8" s="15"/>
      <c r="J8" s="15"/>
      <c r="K8" s="320"/>
      <c r="L8" s="321"/>
      <c r="M8" s="321"/>
      <c r="N8" s="321"/>
      <c r="O8" s="16"/>
    </row>
    <row r="9" spans="1:42" ht="64.25" customHeight="1" thickBot="1" x14ac:dyDescent="0.25">
      <c r="A9" s="14"/>
      <c r="B9" s="499" t="s">
        <v>232</v>
      </c>
      <c r="C9" s="527"/>
      <c r="D9" s="527"/>
      <c r="E9" s="527"/>
      <c r="F9" s="527"/>
      <c r="G9" s="527"/>
      <c r="H9" s="527"/>
      <c r="I9" s="528"/>
      <c r="J9" s="15"/>
      <c r="K9" s="323" t="s">
        <v>136</v>
      </c>
      <c r="L9" s="324" t="s">
        <v>126</v>
      </c>
      <c r="M9" s="324" t="s">
        <v>128</v>
      </c>
      <c r="N9" s="325" t="s">
        <v>127</v>
      </c>
      <c r="O9" s="16"/>
      <c r="P9" s="165"/>
      <c r="Q9" s="165"/>
      <c r="R9" s="165"/>
      <c r="S9" s="165"/>
      <c r="T9" s="165"/>
    </row>
    <row r="10" spans="1:42" ht="22.25" customHeight="1" x14ac:dyDescent="0.2">
      <c r="A10" s="14"/>
      <c r="B10" s="502"/>
      <c r="C10" s="503"/>
      <c r="D10" s="503"/>
      <c r="E10" s="503"/>
      <c r="F10" s="503"/>
      <c r="G10" s="503"/>
      <c r="H10" s="503"/>
      <c r="I10" s="504"/>
      <c r="J10" s="15"/>
      <c r="K10" s="326" t="s">
        <v>109</v>
      </c>
      <c r="L10" s="327"/>
      <c r="M10" s="327"/>
      <c r="N10" s="328"/>
      <c r="O10" s="16"/>
    </row>
    <row r="11" spans="1:42" ht="22.25" customHeight="1" x14ac:dyDescent="0.2">
      <c r="A11" s="14"/>
      <c r="B11" s="505"/>
      <c r="C11" s="506"/>
      <c r="D11" s="506"/>
      <c r="E11" s="506"/>
      <c r="F11" s="506"/>
      <c r="G11" s="506"/>
      <c r="H11" s="506"/>
      <c r="I11" s="507"/>
      <c r="J11" s="15"/>
      <c r="K11" s="329" t="s">
        <v>110</v>
      </c>
      <c r="L11" s="330"/>
      <c r="M11" s="330"/>
      <c r="N11" s="331"/>
      <c r="O11" s="16"/>
    </row>
    <row r="12" spans="1:42" ht="22.25" customHeight="1" x14ac:dyDescent="0.2">
      <c r="A12" s="14"/>
      <c r="B12" s="505"/>
      <c r="C12" s="506"/>
      <c r="D12" s="506"/>
      <c r="E12" s="506"/>
      <c r="F12" s="506"/>
      <c r="G12" s="506"/>
      <c r="H12" s="506"/>
      <c r="I12" s="507"/>
      <c r="J12" s="15"/>
      <c r="K12" s="329" t="s">
        <v>111</v>
      </c>
      <c r="L12" s="330"/>
      <c r="M12" s="330"/>
      <c r="N12" s="331"/>
      <c r="O12" s="16"/>
    </row>
    <row r="13" spans="1:42" ht="22.25" customHeight="1" x14ac:dyDescent="0.2">
      <c r="A13" s="14"/>
      <c r="B13" s="505"/>
      <c r="C13" s="506"/>
      <c r="D13" s="506"/>
      <c r="E13" s="506"/>
      <c r="F13" s="506"/>
      <c r="G13" s="506"/>
      <c r="H13" s="506"/>
      <c r="I13" s="507"/>
      <c r="J13" s="15"/>
      <c r="K13" s="329" t="s">
        <v>112</v>
      </c>
      <c r="L13" s="330"/>
      <c r="M13" s="330"/>
      <c r="N13" s="331"/>
      <c r="O13" s="16"/>
    </row>
    <row r="14" spans="1:42" ht="22.25" customHeight="1" x14ac:dyDescent="0.2">
      <c r="A14" s="14"/>
      <c r="B14" s="505"/>
      <c r="C14" s="506"/>
      <c r="D14" s="506"/>
      <c r="E14" s="506"/>
      <c r="F14" s="506"/>
      <c r="G14" s="506"/>
      <c r="H14" s="506"/>
      <c r="I14" s="507"/>
      <c r="J14" s="15"/>
      <c r="K14" s="329" t="s">
        <v>113</v>
      </c>
      <c r="L14" s="330"/>
      <c r="M14" s="330"/>
      <c r="N14" s="331"/>
      <c r="O14" s="16"/>
    </row>
    <row r="15" spans="1:42" ht="22.25" customHeight="1" x14ac:dyDescent="0.2">
      <c r="A15" s="14"/>
      <c r="B15" s="505"/>
      <c r="C15" s="506"/>
      <c r="D15" s="506"/>
      <c r="E15" s="506"/>
      <c r="F15" s="506"/>
      <c r="G15" s="506"/>
      <c r="H15" s="506"/>
      <c r="I15" s="507"/>
      <c r="J15" s="15"/>
      <c r="K15" s="329" t="s">
        <v>114</v>
      </c>
      <c r="L15" s="330"/>
      <c r="M15" s="330"/>
      <c r="N15" s="331"/>
      <c r="O15" s="16"/>
    </row>
    <row r="16" spans="1:42" ht="22.25" customHeight="1" x14ac:dyDescent="0.2">
      <c r="A16" s="14"/>
      <c r="B16" s="505"/>
      <c r="C16" s="506"/>
      <c r="D16" s="506"/>
      <c r="E16" s="506"/>
      <c r="F16" s="506"/>
      <c r="G16" s="506"/>
      <c r="H16" s="506"/>
      <c r="I16" s="507"/>
      <c r="J16" s="15"/>
      <c r="K16" s="329" t="s">
        <v>115</v>
      </c>
      <c r="L16" s="330"/>
      <c r="M16" s="330"/>
      <c r="N16" s="331"/>
      <c r="O16" s="16"/>
    </row>
    <row r="17" spans="1:42" ht="22.25" customHeight="1" x14ac:dyDescent="0.2">
      <c r="A17" s="14"/>
      <c r="B17" s="505"/>
      <c r="C17" s="506"/>
      <c r="D17" s="506"/>
      <c r="E17" s="506"/>
      <c r="F17" s="506"/>
      <c r="G17" s="506"/>
      <c r="H17" s="506"/>
      <c r="I17" s="507"/>
      <c r="J17" s="15"/>
      <c r="K17" s="329" t="s">
        <v>116</v>
      </c>
      <c r="L17" s="330"/>
      <c r="M17" s="330"/>
      <c r="N17" s="331"/>
      <c r="O17" s="16"/>
    </row>
    <row r="18" spans="1:42" ht="22.25" customHeight="1" x14ac:dyDescent="0.2">
      <c r="A18" s="14"/>
      <c r="B18" s="505"/>
      <c r="C18" s="506"/>
      <c r="D18" s="506"/>
      <c r="E18" s="506"/>
      <c r="F18" s="506"/>
      <c r="G18" s="506"/>
      <c r="H18" s="506"/>
      <c r="I18" s="507"/>
      <c r="J18" s="15"/>
      <c r="K18" s="329" t="s">
        <v>117</v>
      </c>
      <c r="L18" s="330"/>
      <c r="M18" s="330"/>
      <c r="N18" s="331"/>
      <c r="O18" s="16"/>
    </row>
    <row r="19" spans="1:42" ht="22.25" customHeight="1" x14ac:dyDescent="0.2">
      <c r="A19" s="14"/>
      <c r="B19" s="505"/>
      <c r="C19" s="506"/>
      <c r="D19" s="506"/>
      <c r="E19" s="506"/>
      <c r="F19" s="506"/>
      <c r="G19" s="506"/>
      <c r="H19" s="506"/>
      <c r="I19" s="507"/>
      <c r="J19" s="15"/>
      <c r="K19" s="329" t="s">
        <v>118</v>
      </c>
      <c r="L19" s="330"/>
      <c r="M19" s="330"/>
      <c r="N19" s="331"/>
      <c r="O19" s="16"/>
    </row>
    <row r="20" spans="1:42" ht="22.25" customHeight="1" x14ac:dyDescent="0.2">
      <c r="A20" s="14"/>
      <c r="B20" s="505"/>
      <c r="C20" s="506"/>
      <c r="D20" s="506"/>
      <c r="E20" s="506"/>
      <c r="F20" s="506"/>
      <c r="G20" s="506"/>
      <c r="H20" s="506"/>
      <c r="I20" s="507"/>
      <c r="J20" s="15"/>
      <c r="K20" s="329" t="s">
        <v>119</v>
      </c>
      <c r="L20" s="330"/>
      <c r="M20" s="330"/>
      <c r="N20" s="331"/>
      <c r="O20" s="16"/>
    </row>
    <row r="21" spans="1:42" ht="22.25" customHeight="1" x14ac:dyDescent="0.2">
      <c r="A21" s="14"/>
      <c r="B21" s="505"/>
      <c r="C21" s="506"/>
      <c r="D21" s="506"/>
      <c r="E21" s="506"/>
      <c r="F21" s="506"/>
      <c r="G21" s="506"/>
      <c r="H21" s="506"/>
      <c r="I21" s="507"/>
      <c r="J21" s="15"/>
      <c r="K21" s="329" t="s">
        <v>120</v>
      </c>
      <c r="L21" s="330"/>
      <c r="M21" s="330"/>
      <c r="N21" s="331"/>
      <c r="O21" s="16"/>
    </row>
    <row r="22" spans="1:42" ht="22.25" customHeight="1" x14ac:dyDescent="0.2">
      <c r="A22" s="14"/>
      <c r="B22" s="505"/>
      <c r="C22" s="506"/>
      <c r="D22" s="506"/>
      <c r="E22" s="506"/>
      <c r="F22" s="506"/>
      <c r="G22" s="506"/>
      <c r="H22" s="506"/>
      <c r="I22" s="507"/>
      <c r="J22" s="15"/>
      <c r="K22" s="329" t="s">
        <v>121</v>
      </c>
      <c r="L22" s="330"/>
      <c r="M22" s="330"/>
      <c r="N22" s="331"/>
      <c r="O22" s="16"/>
    </row>
    <row r="23" spans="1:42" ht="22.25" customHeight="1" x14ac:dyDescent="0.2">
      <c r="A23" s="14"/>
      <c r="B23" s="505"/>
      <c r="C23" s="506"/>
      <c r="D23" s="506"/>
      <c r="E23" s="506"/>
      <c r="F23" s="506"/>
      <c r="G23" s="506"/>
      <c r="H23" s="506"/>
      <c r="I23" s="507"/>
      <c r="J23" s="15"/>
      <c r="K23" s="329" t="s">
        <v>122</v>
      </c>
      <c r="L23" s="330"/>
      <c r="M23" s="330"/>
      <c r="N23" s="331"/>
      <c r="O23" s="16"/>
    </row>
    <row r="24" spans="1:42" ht="22.25" customHeight="1" x14ac:dyDescent="0.2">
      <c r="A24" s="14"/>
      <c r="B24" s="505"/>
      <c r="C24" s="506"/>
      <c r="D24" s="506"/>
      <c r="E24" s="506"/>
      <c r="F24" s="506"/>
      <c r="G24" s="506"/>
      <c r="H24" s="506"/>
      <c r="I24" s="507"/>
      <c r="J24" s="15"/>
      <c r="K24" s="329" t="s">
        <v>123</v>
      </c>
      <c r="L24" s="330"/>
      <c r="M24" s="330"/>
      <c r="N24" s="331"/>
      <c r="O24" s="16"/>
    </row>
    <row r="25" spans="1:42" ht="22.25" customHeight="1" x14ac:dyDescent="0.2">
      <c r="A25" s="14"/>
      <c r="B25" s="505"/>
      <c r="C25" s="506"/>
      <c r="D25" s="506"/>
      <c r="E25" s="506"/>
      <c r="F25" s="506"/>
      <c r="G25" s="506"/>
      <c r="H25" s="506"/>
      <c r="I25" s="507"/>
      <c r="J25" s="15"/>
      <c r="K25" s="329" t="s">
        <v>124</v>
      </c>
      <c r="L25" s="330"/>
      <c r="M25" s="330"/>
      <c r="N25" s="331"/>
      <c r="O25" s="16"/>
    </row>
    <row r="26" spans="1:42" ht="22.25" customHeight="1" thickBot="1" x14ac:dyDescent="0.25">
      <c r="A26" s="14"/>
      <c r="B26" s="508"/>
      <c r="C26" s="509"/>
      <c r="D26" s="509"/>
      <c r="E26" s="509"/>
      <c r="F26" s="509"/>
      <c r="G26" s="509"/>
      <c r="H26" s="509"/>
      <c r="I26" s="510"/>
      <c r="J26" s="15"/>
      <c r="K26" s="332" t="s">
        <v>125</v>
      </c>
      <c r="L26" s="333"/>
      <c r="M26" s="333"/>
      <c r="N26" s="334"/>
      <c r="O26" s="16"/>
    </row>
    <row r="27" spans="1:42" s="12" customFormat="1" ht="10.25" customHeight="1" thickBot="1" x14ac:dyDescent="0.25">
      <c r="A27" s="14"/>
      <c r="B27" s="24"/>
      <c r="C27" s="24"/>
      <c r="D27" s="24"/>
      <c r="E27" s="24"/>
      <c r="F27" s="24"/>
      <c r="G27" s="24"/>
      <c r="H27" s="24"/>
      <c r="I27" s="15"/>
      <c r="J27" s="15"/>
      <c r="K27" s="320"/>
      <c r="L27" s="321"/>
      <c r="M27" s="321"/>
      <c r="N27" s="321"/>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497" t="s">
        <v>134</v>
      </c>
      <c r="C28" s="498"/>
      <c r="D28" s="24"/>
      <c r="E28" s="24"/>
      <c r="F28" s="24"/>
      <c r="G28" s="24"/>
      <c r="H28" s="24"/>
      <c r="I28" s="15"/>
      <c r="J28" s="15"/>
      <c r="K28" s="320"/>
      <c r="L28" s="321"/>
      <c r="M28" s="321"/>
      <c r="N28" s="321"/>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499" t="s">
        <v>137</v>
      </c>
      <c r="C29" s="500"/>
      <c r="D29" s="500"/>
      <c r="E29" s="500"/>
      <c r="F29" s="500"/>
      <c r="G29" s="500"/>
      <c r="H29" s="500"/>
      <c r="I29" s="501"/>
      <c r="J29" s="15"/>
      <c r="K29" s="320"/>
      <c r="L29" s="321"/>
      <c r="M29" s="321"/>
      <c r="N29" s="321"/>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02"/>
      <c r="C30" s="503"/>
      <c r="D30" s="503"/>
      <c r="E30" s="503"/>
      <c r="F30" s="503"/>
      <c r="G30" s="503"/>
      <c r="H30" s="503"/>
      <c r="I30" s="504"/>
      <c r="J30" s="15"/>
      <c r="K30" s="545" t="s">
        <v>97</v>
      </c>
      <c r="L30" s="546"/>
      <c r="M30" s="549"/>
      <c r="N30" s="550"/>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05"/>
      <c r="C31" s="506"/>
      <c r="D31" s="506"/>
      <c r="E31" s="506"/>
      <c r="F31" s="506"/>
      <c r="G31" s="506"/>
      <c r="H31" s="506"/>
      <c r="I31" s="507"/>
      <c r="J31" s="15"/>
      <c r="K31" s="547"/>
      <c r="L31" s="548"/>
      <c r="M31" s="551"/>
      <c r="N31" s="552"/>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05"/>
      <c r="C32" s="506"/>
      <c r="D32" s="506"/>
      <c r="E32" s="506"/>
      <c r="F32" s="506"/>
      <c r="G32" s="506"/>
      <c r="H32" s="506"/>
      <c r="I32" s="507"/>
      <c r="J32" s="15"/>
      <c r="K32" s="547" t="s">
        <v>98</v>
      </c>
      <c r="L32" s="548"/>
      <c r="M32" s="551"/>
      <c r="N32" s="552"/>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05"/>
      <c r="C33" s="506"/>
      <c r="D33" s="506"/>
      <c r="E33" s="506"/>
      <c r="F33" s="506"/>
      <c r="G33" s="506"/>
      <c r="H33" s="506"/>
      <c r="I33" s="507"/>
      <c r="J33" s="15"/>
      <c r="K33" s="547"/>
      <c r="L33" s="548"/>
      <c r="M33" s="551"/>
      <c r="N33" s="552"/>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08"/>
      <c r="C34" s="509"/>
      <c r="D34" s="509"/>
      <c r="E34" s="509"/>
      <c r="F34" s="509"/>
      <c r="G34" s="509"/>
      <c r="H34" s="509"/>
      <c r="I34" s="510"/>
      <c r="J34" s="15"/>
      <c r="K34" s="553" t="s">
        <v>10</v>
      </c>
      <c r="L34" s="554"/>
      <c r="M34" s="513"/>
      <c r="N34" s="514"/>
      <c r="O34" s="16"/>
    </row>
    <row r="35" spans="1:42" ht="10.25" customHeight="1" thickBot="1" x14ac:dyDescent="0.25">
      <c r="A35" s="14"/>
      <c r="B35" s="15"/>
      <c r="C35" s="15"/>
      <c r="D35" s="15"/>
      <c r="E35" s="15"/>
      <c r="F35" s="15"/>
      <c r="G35" s="15"/>
      <c r="H35" s="15"/>
      <c r="I35" s="15"/>
      <c r="J35" s="15"/>
      <c r="K35" s="320"/>
      <c r="L35" s="321"/>
      <c r="M35" s="321"/>
      <c r="N35" s="321"/>
      <c r="O35" s="16"/>
    </row>
    <row r="36" spans="1:42" s="12" customFormat="1" ht="22.25" customHeight="1" thickBot="1" x14ac:dyDescent="0.25">
      <c r="A36" s="14"/>
      <c r="B36" s="497" t="s">
        <v>223</v>
      </c>
      <c r="C36" s="498"/>
      <c r="D36" s="24"/>
      <c r="E36" s="24"/>
      <c r="F36" s="24"/>
      <c r="G36" s="24"/>
      <c r="H36" s="24"/>
      <c r="I36" s="15"/>
      <c r="J36" s="15"/>
      <c r="K36" s="320"/>
      <c r="L36" s="321"/>
      <c r="M36" s="321"/>
      <c r="N36" s="321"/>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499" t="s">
        <v>231</v>
      </c>
      <c r="C37" s="500"/>
      <c r="D37" s="500"/>
      <c r="E37" s="500"/>
      <c r="F37" s="500"/>
      <c r="G37" s="500"/>
      <c r="H37" s="500"/>
      <c r="I37" s="501"/>
      <c r="J37" s="15"/>
      <c r="K37" s="320"/>
      <c r="L37" s="321"/>
      <c r="M37" s="321"/>
      <c r="N37" s="321"/>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02"/>
      <c r="C38" s="503"/>
      <c r="D38" s="503"/>
      <c r="E38" s="503"/>
      <c r="F38" s="503"/>
      <c r="G38" s="503"/>
      <c r="H38" s="503"/>
      <c r="I38" s="504"/>
      <c r="J38" s="15"/>
      <c r="K38" s="545" t="s">
        <v>97</v>
      </c>
      <c r="L38" s="546"/>
      <c r="M38" s="549"/>
      <c r="N38" s="550"/>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05"/>
      <c r="C39" s="506"/>
      <c r="D39" s="506"/>
      <c r="E39" s="506"/>
      <c r="F39" s="506"/>
      <c r="G39" s="506"/>
      <c r="H39" s="506"/>
      <c r="I39" s="507"/>
      <c r="J39" s="15"/>
      <c r="K39" s="547"/>
      <c r="L39" s="548"/>
      <c r="M39" s="551"/>
      <c r="N39" s="552"/>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05"/>
      <c r="C40" s="506"/>
      <c r="D40" s="506"/>
      <c r="E40" s="506"/>
      <c r="F40" s="506"/>
      <c r="G40" s="506"/>
      <c r="H40" s="506"/>
      <c r="I40" s="507"/>
      <c r="J40" s="15"/>
      <c r="K40" s="547" t="s">
        <v>157</v>
      </c>
      <c r="L40" s="548"/>
      <c r="M40" s="551"/>
      <c r="N40" s="552"/>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05"/>
      <c r="C41" s="506"/>
      <c r="D41" s="506"/>
      <c r="E41" s="506"/>
      <c r="F41" s="506"/>
      <c r="G41" s="506"/>
      <c r="H41" s="506"/>
      <c r="I41" s="507"/>
      <c r="J41" s="15"/>
      <c r="K41" s="547"/>
      <c r="L41" s="548"/>
      <c r="M41" s="551"/>
      <c r="N41" s="552"/>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05"/>
      <c r="C42" s="506"/>
      <c r="D42" s="506"/>
      <c r="E42" s="506"/>
      <c r="F42" s="506"/>
      <c r="G42" s="506"/>
      <c r="H42" s="506"/>
      <c r="I42" s="507"/>
      <c r="J42" s="15"/>
      <c r="K42" s="555" t="s">
        <v>10</v>
      </c>
      <c r="L42" s="556"/>
      <c r="M42" s="525"/>
      <c r="N42" s="526"/>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05"/>
      <c r="C43" s="506"/>
      <c r="D43" s="509"/>
      <c r="E43" s="509"/>
      <c r="F43" s="509"/>
      <c r="G43" s="509"/>
      <c r="H43" s="509"/>
      <c r="I43" s="510"/>
      <c r="J43" s="15"/>
      <c r="K43" s="553" t="s">
        <v>260</v>
      </c>
      <c r="L43" s="554"/>
      <c r="M43" s="513"/>
      <c r="N43" s="514"/>
      <c r="O43" s="16"/>
    </row>
    <row r="44" spans="1:42" ht="22.25" customHeight="1" thickBot="1" x14ac:dyDescent="0.25">
      <c r="A44" s="14"/>
      <c r="B44" s="13" t="s">
        <v>149</v>
      </c>
      <c r="C44" s="167"/>
      <c r="D44" s="13" t="s">
        <v>150</v>
      </c>
      <c r="E44" s="167"/>
      <c r="F44" s="13" t="s">
        <v>152</v>
      </c>
      <c r="G44" s="167"/>
      <c r="H44" s="13" t="s">
        <v>196</v>
      </c>
      <c r="I44" s="167"/>
      <c r="J44" s="15"/>
      <c r="K44" s="320"/>
      <c r="L44" s="321"/>
      <c r="M44" s="321"/>
      <c r="N44" s="321"/>
      <c r="O44" s="16"/>
    </row>
    <row r="45" spans="1:42" ht="10.25" customHeight="1" thickBot="1" x14ac:dyDescent="0.25">
      <c r="A45" s="14"/>
      <c r="B45" s="15"/>
      <c r="C45" s="15"/>
      <c r="D45" s="15"/>
      <c r="E45" s="15"/>
      <c r="F45" s="15"/>
      <c r="G45" s="15"/>
      <c r="H45" s="15"/>
      <c r="I45" s="15"/>
      <c r="J45" s="15"/>
      <c r="K45" s="320"/>
      <c r="L45" s="321"/>
      <c r="M45" s="321"/>
      <c r="N45" s="321"/>
      <c r="O45" s="16"/>
    </row>
    <row r="46" spans="1:42" ht="22.25" customHeight="1" thickBot="1" x14ac:dyDescent="0.25">
      <c r="A46" s="14"/>
      <c r="B46" s="497" t="s">
        <v>223</v>
      </c>
      <c r="C46" s="498"/>
      <c r="D46" s="24"/>
      <c r="E46" s="24"/>
      <c r="F46" s="24"/>
      <c r="G46" s="24"/>
      <c r="H46" s="24"/>
      <c r="I46" s="15"/>
      <c r="J46" s="15"/>
      <c r="K46" s="320"/>
      <c r="L46" s="321"/>
      <c r="M46" s="321"/>
      <c r="N46" s="321"/>
      <c r="O46" s="16"/>
    </row>
    <row r="47" spans="1:42" ht="51" customHeight="1" thickBot="1" x14ac:dyDescent="0.25">
      <c r="A47" s="14"/>
      <c r="B47" s="499" t="s">
        <v>230</v>
      </c>
      <c r="C47" s="500"/>
      <c r="D47" s="500"/>
      <c r="E47" s="500"/>
      <c r="F47" s="500"/>
      <c r="G47" s="500"/>
      <c r="H47" s="500"/>
      <c r="I47" s="501"/>
      <c r="J47" s="15"/>
      <c r="K47" s="320"/>
      <c r="L47" s="321"/>
      <c r="M47" s="321"/>
      <c r="N47" s="321"/>
      <c r="O47" s="16"/>
    </row>
    <row r="48" spans="1:42" ht="22.25" customHeight="1" x14ac:dyDescent="0.2">
      <c r="A48" s="14"/>
      <c r="B48" s="502"/>
      <c r="C48" s="503"/>
      <c r="D48" s="503"/>
      <c r="E48" s="503"/>
      <c r="F48" s="503"/>
      <c r="G48" s="503"/>
      <c r="H48" s="503"/>
      <c r="I48" s="504"/>
      <c r="J48" s="15"/>
      <c r="K48" s="545" t="s">
        <v>97</v>
      </c>
      <c r="L48" s="546"/>
      <c r="M48" s="549"/>
      <c r="N48" s="550"/>
      <c r="O48" s="16"/>
    </row>
    <row r="49" spans="1:15" ht="22.25" customHeight="1" x14ac:dyDescent="0.2">
      <c r="A49" s="14"/>
      <c r="B49" s="505"/>
      <c r="C49" s="506"/>
      <c r="D49" s="506"/>
      <c r="E49" s="506"/>
      <c r="F49" s="506"/>
      <c r="G49" s="506"/>
      <c r="H49" s="506"/>
      <c r="I49" s="507"/>
      <c r="J49" s="15"/>
      <c r="K49" s="547"/>
      <c r="L49" s="548"/>
      <c r="M49" s="551"/>
      <c r="N49" s="552"/>
      <c r="O49" s="16"/>
    </row>
    <row r="50" spans="1:15" ht="22.25" customHeight="1" x14ac:dyDescent="0.2">
      <c r="A50" s="14"/>
      <c r="B50" s="505"/>
      <c r="C50" s="506"/>
      <c r="D50" s="506"/>
      <c r="E50" s="506"/>
      <c r="F50" s="506"/>
      <c r="G50" s="506"/>
      <c r="H50" s="506"/>
      <c r="I50" s="507"/>
      <c r="J50" s="15"/>
      <c r="K50" s="547" t="s">
        <v>157</v>
      </c>
      <c r="L50" s="548"/>
      <c r="M50" s="551"/>
      <c r="N50" s="552"/>
      <c r="O50" s="16"/>
    </row>
    <row r="51" spans="1:15" ht="22.25" customHeight="1" x14ac:dyDescent="0.2">
      <c r="A51" s="14"/>
      <c r="B51" s="505"/>
      <c r="C51" s="506"/>
      <c r="D51" s="506"/>
      <c r="E51" s="506"/>
      <c r="F51" s="506"/>
      <c r="G51" s="506"/>
      <c r="H51" s="506"/>
      <c r="I51" s="507"/>
      <c r="J51" s="15"/>
      <c r="K51" s="547"/>
      <c r="L51" s="548"/>
      <c r="M51" s="551"/>
      <c r="N51" s="552"/>
      <c r="O51" s="16"/>
    </row>
    <row r="52" spans="1:15" ht="22.25" customHeight="1" x14ac:dyDescent="0.2">
      <c r="A52" s="14"/>
      <c r="B52" s="505"/>
      <c r="C52" s="506"/>
      <c r="D52" s="506"/>
      <c r="E52" s="506"/>
      <c r="F52" s="506"/>
      <c r="G52" s="506"/>
      <c r="H52" s="506"/>
      <c r="I52" s="507"/>
      <c r="J52" s="15"/>
      <c r="K52" s="555" t="s">
        <v>10</v>
      </c>
      <c r="L52" s="556"/>
      <c r="M52" s="525"/>
      <c r="N52" s="526"/>
      <c r="O52" s="16"/>
    </row>
    <row r="53" spans="1:15" ht="22.25" customHeight="1" thickBot="1" x14ac:dyDescent="0.25">
      <c r="A53" s="14"/>
      <c r="B53" s="508"/>
      <c r="C53" s="509"/>
      <c r="D53" s="509"/>
      <c r="E53" s="509"/>
      <c r="F53" s="509"/>
      <c r="G53" s="509"/>
      <c r="H53" s="509"/>
      <c r="I53" s="510"/>
      <c r="J53" s="15"/>
      <c r="K53" s="553" t="s">
        <v>259</v>
      </c>
      <c r="L53" s="554"/>
      <c r="M53" s="513"/>
      <c r="N53" s="514"/>
      <c r="O53" s="16"/>
    </row>
    <row r="54" spans="1:15" ht="22.25" customHeight="1" thickBot="1" x14ac:dyDescent="0.25">
      <c r="A54" s="14"/>
      <c r="B54" s="37" t="s">
        <v>149</v>
      </c>
      <c r="C54" s="167"/>
      <c r="D54" s="37" t="s">
        <v>150</v>
      </c>
      <c r="E54" s="167"/>
      <c r="F54" s="13" t="s">
        <v>152</v>
      </c>
      <c r="G54" s="167"/>
      <c r="H54" s="13" t="s">
        <v>151</v>
      </c>
      <c r="I54" s="167"/>
      <c r="J54" s="15"/>
      <c r="K54" s="320"/>
      <c r="L54" s="321"/>
      <c r="M54" s="321"/>
      <c r="N54" s="321"/>
      <c r="O54" s="16"/>
    </row>
    <row r="55" spans="1:15" ht="10.25" customHeight="1" thickBot="1" x14ac:dyDescent="0.25">
      <c r="A55" s="14"/>
      <c r="B55" s="15"/>
      <c r="C55" s="15"/>
      <c r="D55" s="15"/>
      <c r="E55" s="15"/>
      <c r="F55" s="15"/>
      <c r="G55" s="15"/>
      <c r="H55" s="15"/>
      <c r="I55" s="15"/>
      <c r="J55" s="15"/>
      <c r="K55" s="320"/>
      <c r="L55" s="321"/>
      <c r="M55" s="321"/>
      <c r="N55" s="321"/>
      <c r="O55" s="16"/>
    </row>
    <row r="56" spans="1:15" ht="22.25" customHeight="1" thickBot="1" x14ac:dyDescent="0.25">
      <c r="A56" s="14"/>
      <c r="B56" s="497" t="s">
        <v>135</v>
      </c>
      <c r="C56" s="498"/>
      <c r="D56" s="24"/>
      <c r="E56" s="24"/>
      <c r="F56" s="24"/>
      <c r="G56" s="24"/>
      <c r="H56" s="24"/>
      <c r="I56" s="15"/>
      <c r="J56" s="15"/>
      <c r="K56" s="320"/>
      <c r="L56" s="321"/>
      <c r="M56" s="321"/>
      <c r="N56" s="321"/>
      <c r="O56" s="16"/>
    </row>
    <row r="57" spans="1:15" ht="36" customHeight="1" thickBot="1" x14ac:dyDescent="0.25">
      <c r="A57" s="14"/>
      <c r="B57" s="499" t="s">
        <v>156</v>
      </c>
      <c r="C57" s="500"/>
      <c r="D57" s="500"/>
      <c r="E57" s="500"/>
      <c r="F57" s="500"/>
      <c r="G57" s="500"/>
      <c r="H57" s="500"/>
      <c r="I57" s="501"/>
      <c r="J57" s="15"/>
      <c r="K57" s="320"/>
      <c r="L57" s="321"/>
      <c r="M57" s="321"/>
      <c r="N57" s="321"/>
      <c r="O57" s="16"/>
    </row>
    <row r="58" spans="1:15" ht="22.25" customHeight="1" x14ac:dyDescent="0.2">
      <c r="A58" s="14"/>
      <c r="B58" s="502"/>
      <c r="C58" s="503"/>
      <c r="D58" s="503"/>
      <c r="E58" s="503"/>
      <c r="F58" s="503"/>
      <c r="G58" s="503"/>
      <c r="H58" s="503"/>
      <c r="I58" s="504"/>
      <c r="J58" s="15"/>
      <c r="K58" s="545" t="s">
        <v>97</v>
      </c>
      <c r="L58" s="546"/>
      <c r="M58" s="549"/>
      <c r="N58" s="550"/>
      <c r="O58" s="16"/>
    </row>
    <row r="59" spans="1:15" ht="22.25" customHeight="1" x14ac:dyDescent="0.2">
      <c r="A59" s="14"/>
      <c r="B59" s="505"/>
      <c r="C59" s="506"/>
      <c r="D59" s="506"/>
      <c r="E59" s="506"/>
      <c r="F59" s="506"/>
      <c r="G59" s="506"/>
      <c r="H59" s="506"/>
      <c r="I59" s="507"/>
      <c r="J59" s="15"/>
      <c r="K59" s="547"/>
      <c r="L59" s="548"/>
      <c r="M59" s="551"/>
      <c r="N59" s="552"/>
      <c r="O59" s="16"/>
    </row>
    <row r="60" spans="1:15" ht="22.25" customHeight="1" x14ac:dyDescent="0.2">
      <c r="A60" s="14"/>
      <c r="B60" s="505"/>
      <c r="C60" s="506"/>
      <c r="D60" s="506"/>
      <c r="E60" s="506"/>
      <c r="F60" s="506"/>
      <c r="G60" s="506"/>
      <c r="H60" s="506"/>
      <c r="I60" s="507"/>
      <c r="J60" s="15"/>
      <c r="K60" s="547" t="s">
        <v>158</v>
      </c>
      <c r="L60" s="548"/>
      <c r="M60" s="551"/>
      <c r="N60" s="552"/>
      <c r="O60" s="16"/>
    </row>
    <row r="61" spans="1:15" ht="22.25" customHeight="1" x14ac:dyDescent="0.2">
      <c r="A61" s="14"/>
      <c r="B61" s="505"/>
      <c r="C61" s="506"/>
      <c r="D61" s="506"/>
      <c r="E61" s="506"/>
      <c r="F61" s="506"/>
      <c r="G61" s="506"/>
      <c r="H61" s="506"/>
      <c r="I61" s="507"/>
      <c r="J61" s="15"/>
      <c r="K61" s="547"/>
      <c r="L61" s="548"/>
      <c r="M61" s="551"/>
      <c r="N61" s="552"/>
      <c r="O61" s="16"/>
    </row>
    <row r="62" spans="1:15" ht="22.25" customHeight="1" thickBot="1" x14ac:dyDescent="0.25">
      <c r="A62" s="14"/>
      <c r="B62" s="508"/>
      <c r="C62" s="509"/>
      <c r="D62" s="509"/>
      <c r="E62" s="509"/>
      <c r="F62" s="509"/>
      <c r="G62" s="509"/>
      <c r="H62" s="509"/>
      <c r="I62" s="510"/>
      <c r="J62" s="15"/>
      <c r="K62" s="553" t="s">
        <v>10</v>
      </c>
      <c r="L62" s="554"/>
      <c r="M62" s="513"/>
      <c r="N62" s="514"/>
      <c r="O62" s="16"/>
    </row>
    <row r="63" spans="1:15" ht="22.25" customHeight="1" x14ac:dyDescent="0.2">
      <c r="A63" s="14"/>
      <c r="B63" s="15"/>
      <c r="C63" s="15"/>
      <c r="D63" s="15"/>
      <c r="E63" s="15"/>
      <c r="F63" s="15"/>
      <c r="G63" s="15"/>
      <c r="H63" s="15"/>
      <c r="I63" s="15"/>
      <c r="J63" s="15"/>
      <c r="K63" s="320"/>
      <c r="L63" s="321"/>
      <c r="M63" s="321"/>
      <c r="N63" s="321"/>
      <c r="O63" s="16"/>
    </row>
    <row r="64" spans="1:15" ht="22.25" customHeight="1" x14ac:dyDescent="0.2">
      <c r="A64" s="14"/>
      <c r="B64" s="15"/>
      <c r="C64" s="15"/>
      <c r="D64" s="15"/>
      <c r="E64" s="15"/>
      <c r="F64" s="15"/>
      <c r="G64" s="15"/>
      <c r="H64" s="15"/>
      <c r="I64" s="15"/>
      <c r="J64" s="15"/>
      <c r="K64" s="320"/>
      <c r="L64" s="321"/>
      <c r="M64" s="321"/>
      <c r="N64" s="321"/>
      <c r="O64" s="16"/>
    </row>
    <row r="65" spans="1:15" ht="22.25" customHeight="1" thickBot="1" x14ac:dyDescent="0.25">
      <c r="A65" s="21"/>
      <c r="B65" s="22"/>
      <c r="C65" s="22"/>
      <c r="D65" s="22"/>
      <c r="E65" s="22"/>
      <c r="F65" s="22"/>
      <c r="G65" s="22"/>
      <c r="H65" s="22"/>
      <c r="I65" s="22"/>
      <c r="J65" s="22"/>
      <c r="K65" s="335"/>
      <c r="L65" s="336"/>
      <c r="M65" s="336"/>
      <c r="N65" s="336"/>
      <c r="O65" s="23"/>
    </row>
    <row r="66" spans="1:15" s="163" customFormat="1" x14ac:dyDescent="0.2">
      <c r="K66" s="337"/>
      <c r="L66" s="338"/>
      <c r="M66" s="338"/>
      <c r="N66" s="338"/>
    </row>
    <row r="67" spans="1:15" s="163" customFormat="1" x14ac:dyDescent="0.2">
      <c r="K67" s="337"/>
      <c r="L67" s="338"/>
      <c r="M67" s="338"/>
      <c r="N67" s="338"/>
    </row>
    <row r="68" spans="1:15" s="163" customFormat="1" x14ac:dyDescent="0.2">
      <c r="K68" s="337"/>
      <c r="L68" s="338"/>
      <c r="M68" s="338"/>
      <c r="N68" s="338"/>
    </row>
    <row r="69" spans="1:15" s="163" customFormat="1" x14ac:dyDescent="0.2">
      <c r="K69" s="337"/>
      <c r="L69" s="338"/>
      <c r="M69" s="338"/>
      <c r="N69" s="338"/>
    </row>
    <row r="70" spans="1:15" s="163" customFormat="1" x14ac:dyDescent="0.2">
      <c r="K70" s="337"/>
      <c r="L70" s="338"/>
      <c r="M70" s="338"/>
      <c r="N70" s="338"/>
    </row>
    <row r="71" spans="1:15" s="163" customFormat="1" x14ac:dyDescent="0.2">
      <c r="K71" s="337"/>
      <c r="L71" s="338"/>
      <c r="M71" s="338"/>
      <c r="N71" s="338"/>
    </row>
    <row r="72" spans="1:15" s="163" customFormat="1" x14ac:dyDescent="0.2">
      <c r="K72" s="337"/>
      <c r="L72" s="338"/>
      <c r="M72" s="338"/>
      <c r="N72" s="338"/>
    </row>
    <row r="73" spans="1:15" s="163" customFormat="1" x14ac:dyDescent="0.2">
      <c r="K73" s="337"/>
      <c r="L73" s="338"/>
      <c r="M73" s="338"/>
      <c r="N73" s="338"/>
    </row>
    <row r="74" spans="1:15" s="163" customFormat="1" x14ac:dyDescent="0.2">
      <c r="K74" s="337"/>
      <c r="L74" s="338"/>
      <c r="M74" s="338"/>
      <c r="N74" s="338"/>
    </row>
    <row r="75" spans="1:15" s="163" customFormat="1" x14ac:dyDescent="0.2">
      <c r="K75" s="337"/>
      <c r="L75" s="338"/>
      <c r="M75" s="338"/>
      <c r="N75" s="338"/>
    </row>
    <row r="76" spans="1:15" s="163" customFormat="1" x14ac:dyDescent="0.2">
      <c r="K76" s="337"/>
      <c r="L76" s="338"/>
      <c r="M76" s="338"/>
      <c r="N76" s="338"/>
    </row>
    <row r="77" spans="1:15" s="163" customFormat="1" x14ac:dyDescent="0.2">
      <c r="K77" s="337"/>
      <c r="L77" s="338"/>
      <c r="M77" s="338"/>
      <c r="N77" s="338"/>
    </row>
    <row r="78" spans="1:15" s="163" customFormat="1" x14ac:dyDescent="0.2">
      <c r="K78" s="337"/>
      <c r="L78" s="338"/>
      <c r="M78" s="338"/>
      <c r="N78" s="338"/>
    </row>
    <row r="79" spans="1:15" s="163" customFormat="1" x14ac:dyDescent="0.2">
      <c r="K79" s="337"/>
      <c r="L79" s="338"/>
      <c r="M79" s="338"/>
      <c r="N79" s="338"/>
    </row>
    <row r="80" spans="1:15" s="163" customFormat="1" x14ac:dyDescent="0.2">
      <c r="K80" s="337"/>
      <c r="L80" s="338"/>
      <c r="M80" s="338"/>
      <c r="N80" s="338"/>
    </row>
    <row r="81" spans="11:14" s="163" customFormat="1" x14ac:dyDescent="0.2">
      <c r="K81" s="337"/>
      <c r="L81" s="338"/>
      <c r="M81" s="338"/>
      <c r="N81" s="338"/>
    </row>
    <row r="82" spans="11:14" s="163" customFormat="1" x14ac:dyDescent="0.2">
      <c r="K82" s="337"/>
      <c r="L82" s="338"/>
      <c r="M82" s="338"/>
      <c r="N82" s="338"/>
    </row>
    <row r="83" spans="11:14" s="163" customFormat="1" x14ac:dyDescent="0.2">
      <c r="K83" s="337"/>
      <c r="L83" s="338"/>
      <c r="M83" s="338"/>
      <c r="N83" s="338"/>
    </row>
    <row r="84" spans="11:14" s="163" customFormat="1" x14ac:dyDescent="0.2">
      <c r="K84" s="337"/>
      <c r="L84" s="338"/>
      <c r="M84" s="338"/>
      <c r="N84" s="338"/>
    </row>
    <row r="85" spans="11:14" s="163" customFormat="1" x14ac:dyDescent="0.2">
      <c r="K85" s="337"/>
      <c r="L85" s="338"/>
      <c r="M85" s="338"/>
      <c r="N85" s="338"/>
    </row>
    <row r="86" spans="11:14" s="163" customFormat="1" x14ac:dyDescent="0.2">
      <c r="K86" s="337"/>
      <c r="L86" s="338"/>
      <c r="M86" s="338"/>
      <c r="N86" s="338"/>
    </row>
    <row r="87" spans="11:14" s="163" customFormat="1" x14ac:dyDescent="0.2">
      <c r="K87" s="337"/>
      <c r="L87" s="338"/>
      <c r="M87" s="338"/>
      <c r="N87" s="338"/>
    </row>
    <row r="88" spans="11:14" s="163" customFormat="1" x14ac:dyDescent="0.2">
      <c r="K88" s="337"/>
      <c r="L88" s="338"/>
      <c r="M88" s="338"/>
      <c r="N88" s="338"/>
    </row>
    <row r="89" spans="11:14" s="163" customFormat="1" x14ac:dyDescent="0.2">
      <c r="K89" s="337"/>
      <c r="L89" s="338"/>
      <c r="M89" s="338"/>
      <c r="N89" s="338"/>
    </row>
    <row r="90" spans="11:14" s="163" customFormat="1" x14ac:dyDescent="0.2">
      <c r="K90" s="337"/>
      <c r="L90" s="338"/>
      <c r="M90" s="338"/>
      <c r="N90" s="338"/>
    </row>
    <row r="91" spans="11:14" s="163" customFormat="1" x14ac:dyDescent="0.2">
      <c r="K91" s="337"/>
      <c r="L91" s="338"/>
      <c r="M91" s="338"/>
      <c r="N91" s="338"/>
    </row>
    <row r="92" spans="11:14" s="163" customFormat="1" x14ac:dyDescent="0.2">
      <c r="K92" s="337"/>
      <c r="L92" s="338"/>
      <c r="M92" s="338"/>
      <c r="N92" s="338"/>
    </row>
    <row r="93" spans="11:14" s="163" customFormat="1" x14ac:dyDescent="0.2">
      <c r="K93" s="337"/>
      <c r="L93" s="338"/>
      <c r="M93" s="338"/>
      <c r="N93" s="338"/>
    </row>
    <row r="94" spans="11:14" s="163" customFormat="1" x14ac:dyDescent="0.2">
      <c r="K94" s="337"/>
      <c r="L94" s="338"/>
      <c r="M94" s="338"/>
      <c r="N94" s="338"/>
    </row>
    <row r="95" spans="11:14" s="163" customFormat="1" x14ac:dyDescent="0.2">
      <c r="K95" s="337"/>
      <c r="L95" s="338"/>
      <c r="M95" s="338"/>
      <c r="N95" s="338"/>
    </row>
    <row r="96" spans="11:14" s="163" customFormat="1" x14ac:dyDescent="0.2">
      <c r="K96" s="337"/>
      <c r="L96" s="338"/>
      <c r="M96" s="338"/>
      <c r="N96" s="338"/>
    </row>
    <row r="97" spans="11:14" s="163" customFormat="1" x14ac:dyDescent="0.2">
      <c r="K97" s="337"/>
      <c r="L97" s="338"/>
      <c r="M97" s="338"/>
      <c r="N97" s="338"/>
    </row>
    <row r="98" spans="11:14" s="163" customFormat="1" x14ac:dyDescent="0.2">
      <c r="K98" s="337"/>
      <c r="L98" s="338"/>
      <c r="M98" s="338"/>
      <c r="N98" s="338"/>
    </row>
    <row r="99" spans="11:14" s="163" customFormat="1" x14ac:dyDescent="0.2">
      <c r="K99" s="337"/>
      <c r="L99" s="338"/>
      <c r="M99" s="338"/>
      <c r="N99" s="338"/>
    </row>
    <row r="100" spans="11:14" s="163" customFormat="1" x14ac:dyDescent="0.2">
      <c r="K100" s="337"/>
      <c r="L100" s="338"/>
      <c r="M100" s="338"/>
      <c r="N100" s="338"/>
    </row>
    <row r="101" spans="11:14" s="163" customFormat="1" x14ac:dyDescent="0.2">
      <c r="K101" s="337"/>
      <c r="L101" s="338"/>
      <c r="M101" s="338"/>
      <c r="N101" s="338"/>
    </row>
    <row r="102" spans="11:14" s="163" customFormat="1" x14ac:dyDescent="0.2">
      <c r="K102" s="337"/>
      <c r="L102" s="338"/>
      <c r="M102" s="338"/>
      <c r="N102" s="338"/>
    </row>
    <row r="103" spans="11:14" s="163" customFormat="1" x14ac:dyDescent="0.2">
      <c r="K103" s="337"/>
      <c r="L103" s="338"/>
      <c r="M103" s="338"/>
      <c r="N103" s="338"/>
    </row>
    <row r="104" spans="11:14" s="163" customFormat="1" x14ac:dyDescent="0.2">
      <c r="K104" s="337"/>
      <c r="L104" s="338"/>
      <c r="M104" s="338"/>
      <c r="N104" s="338"/>
    </row>
    <row r="105" spans="11:14" s="163" customFormat="1" x14ac:dyDescent="0.2">
      <c r="K105" s="337"/>
      <c r="L105" s="338"/>
      <c r="M105" s="338"/>
      <c r="N105" s="338"/>
    </row>
    <row r="106" spans="11:14" s="163" customFormat="1" x14ac:dyDescent="0.2">
      <c r="K106" s="337"/>
      <c r="L106" s="338"/>
      <c r="M106" s="338"/>
      <c r="N106" s="338"/>
    </row>
    <row r="107" spans="11:14" s="163" customFormat="1" x14ac:dyDescent="0.2">
      <c r="K107" s="337"/>
      <c r="L107" s="338"/>
      <c r="M107" s="338"/>
      <c r="N107" s="338"/>
    </row>
    <row r="108" spans="11:14" s="163" customFormat="1" x14ac:dyDescent="0.2">
      <c r="K108" s="337"/>
      <c r="L108" s="338"/>
      <c r="M108" s="338"/>
      <c r="N108" s="338"/>
    </row>
    <row r="109" spans="11:14" s="163" customFormat="1" x14ac:dyDescent="0.2">
      <c r="K109" s="337"/>
      <c r="L109" s="338"/>
      <c r="M109" s="338"/>
      <c r="N109" s="338"/>
    </row>
    <row r="110" spans="11:14" s="163" customFormat="1" x14ac:dyDescent="0.2">
      <c r="K110" s="337"/>
      <c r="L110" s="338"/>
      <c r="M110" s="338"/>
      <c r="N110" s="338"/>
    </row>
    <row r="111" spans="11:14" s="163" customFormat="1" x14ac:dyDescent="0.2">
      <c r="K111" s="337"/>
      <c r="L111" s="338"/>
      <c r="M111" s="338"/>
      <c r="N111" s="338"/>
    </row>
    <row r="112" spans="11:14" s="163" customFormat="1" x14ac:dyDescent="0.2">
      <c r="K112" s="337"/>
      <c r="L112" s="338"/>
      <c r="M112" s="338"/>
      <c r="N112" s="338"/>
    </row>
    <row r="113" spans="11:14" s="163" customFormat="1" x14ac:dyDescent="0.2">
      <c r="K113" s="337"/>
      <c r="L113" s="338"/>
      <c r="M113" s="338"/>
      <c r="N113" s="338"/>
    </row>
    <row r="114" spans="11:14" s="163" customFormat="1" x14ac:dyDescent="0.2">
      <c r="K114" s="337"/>
      <c r="L114" s="338"/>
      <c r="M114" s="338"/>
      <c r="N114" s="338"/>
    </row>
    <row r="115" spans="11:14" s="163" customFormat="1" x14ac:dyDescent="0.2">
      <c r="K115" s="337"/>
      <c r="L115" s="338"/>
      <c r="M115" s="338"/>
      <c r="N115" s="338"/>
    </row>
    <row r="116" spans="11:14" s="163" customFormat="1" x14ac:dyDescent="0.2">
      <c r="K116" s="337"/>
      <c r="L116" s="338"/>
      <c r="M116" s="338"/>
      <c r="N116" s="338"/>
    </row>
    <row r="117" spans="11:14" s="163" customFormat="1" x14ac:dyDescent="0.2">
      <c r="K117" s="337"/>
      <c r="L117" s="338"/>
      <c r="M117" s="338"/>
      <c r="N117" s="338"/>
    </row>
    <row r="118" spans="11:14" s="163" customFormat="1" x14ac:dyDescent="0.2">
      <c r="K118" s="337"/>
      <c r="L118" s="338"/>
      <c r="M118" s="338"/>
      <c r="N118" s="338"/>
    </row>
    <row r="119" spans="11:14" s="163" customFormat="1" x14ac:dyDescent="0.2">
      <c r="K119" s="337"/>
      <c r="L119" s="338"/>
      <c r="M119" s="338"/>
      <c r="N119" s="338"/>
    </row>
    <row r="120" spans="11:14" s="163" customFormat="1" x14ac:dyDescent="0.2">
      <c r="K120" s="337"/>
      <c r="L120" s="338"/>
      <c r="M120" s="338"/>
      <c r="N120" s="338"/>
    </row>
    <row r="121" spans="11:14" s="163" customFormat="1" x14ac:dyDescent="0.2">
      <c r="K121" s="337"/>
      <c r="L121" s="338"/>
      <c r="M121" s="338"/>
      <c r="N121" s="338"/>
    </row>
    <row r="122" spans="11:14" s="163" customFormat="1" x14ac:dyDescent="0.2">
      <c r="K122" s="337"/>
      <c r="L122" s="338"/>
      <c r="M122" s="338"/>
      <c r="N122" s="338"/>
    </row>
    <row r="123" spans="11:14" s="163" customFormat="1" x14ac:dyDescent="0.2">
      <c r="K123" s="337"/>
      <c r="L123" s="338"/>
      <c r="M123" s="338"/>
      <c r="N123" s="338"/>
    </row>
    <row r="124" spans="11:14" s="163" customFormat="1" x14ac:dyDescent="0.2">
      <c r="K124" s="337"/>
      <c r="L124" s="338"/>
      <c r="M124" s="338"/>
      <c r="N124" s="338"/>
    </row>
    <row r="125" spans="11:14" s="163" customFormat="1" x14ac:dyDescent="0.2">
      <c r="K125" s="337"/>
      <c r="L125" s="338"/>
      <c r="M125" s="338"/>
      <c r="N125" s="338"/>
    </row>
    <row r="126" spans="11:14" s="163" customFormat="1" x14ac:dyDescent="0.2">
      <c r="K126" s="337"/>
      <c r="L126" s="338"/>
      <c r="M126" s="338"/>
      <c r="N126" s="338"/>
    </row>
    <row r="127" spans="11:14" s="163" customFormat="1" x14ac:dyDescent="0.2">
      <c r="K127" s="337"/>
      <c r="L127" s="338"/>
      <c r="M127" s="338"/>
      <c r="N127" s="338"/>
    </row>
    <row r="128" spans="11:14" s="163" customFormat="1" x14ac:dyDescent="0.2">
      <c r="K128" s="337"/>
      <c r="L128" s="338"/>
      <c r="M128" s="338"/>
      <c r="N128" s="338"/>
    </row>
    <row r="129" spans="11:14" s="163" customFormat="1" x14ac:dyDescent="0.2">
      <c r="K129" s="337"/>
      <c r="L129" s="338"/>
      <c r="M129" s="338"/>
      <c r="N129" s="338"/>
    </row>
    <row r="130" spans="11:14" s="163" customFormat="1" x14ac:dyDescent="0.2">
      <c r="K130" s="337"/>
      <c r="L130" s="338"/>
      <c r="M130" s="338"/>
      <c r="N130" s="338"/>
    </row>
    <row r="131" spans="11:14" s="163" customFormat="1" x14ac:dyDescent="0.2">
      <c r="K131" s="337"/>
      <c r="L131" s="338"/>
      <c r="M131" s="338"/>
      <c r="N131" s="338"/>
    </row>
    <row r="132" spans="11:14" s="163" customFormat="1" x14ac:dyDescent="0.2">
      <c r="K132" s="337"/>
      <c r="L132" s="338"/>
      <c r="M132" s="338"/>
      <c r="N132" s="338"/>
    </row>
    <row r="133" spans="11:14" s="163" customFormat="1" x14ac:dyDescent="0.2">
      <c r="K133" s="337"/>
      <c r="L133" s="338"/>
      <c r="M133" s="338"/>
      <c r="N133" s="338"/>
    </row>
    <row r="134" spans="11:14" s="163" customFormat="1" x14ac:dyDescent="0.2">
      <c r="K134" s="337"/>
      <c r="L134" s="338"/>
      <c r="M134" s="338"/>
      <c r="N134" s="338"/>
    </row>
    <row r="135" spans="11:14" s="163" customFormat="1" x14ac:dyDescent="0.2">
      <c r="K135" s="337"/>
      <c r="L135" s="338"/>
      <c r="M135" s="338"/>
      <c r="N135" s="338"/>
    </row>
    <row r="136" spans="11:14" s="163" customFormat="1" x14ac:dyDescent="0.2">
      <c r="K136" s="337"/>
      <c r="L136" s="338"/>
      <c r="M136" s="338"/>
      <c r="N136" s="338"/>
    </row>
    <row r="137" spans="11:14" s="163" customFormat="1" x14ac:dyDescent="0.2">
      <c r="K137" s="337"/>
      <c r="L137" s="338"/>
      <c r="M137" s="338"/>
      <c r="N137" s="338"/>
    </row>
    <row r="138" spans="11:14" s="163" customFormat="1" x14ac:dyDescent="0.2">
      <c r="K138" s="337"/>
      <c r="L138" s="338"/>
      <c r="M138" s="338"/>
      <c r="N138" s="338"/>
    </row>
    <row r="139" spans="11:14" s="163" customFormat="1" x14ac:dyDescent="0.2">
      <c r="K139" s="337"/>
      <c r="L139" s="338"/>
      <c r="M139" s="338"/>
      <c r="N139" s="338"/>
    </row>
    <row r="140" spans="11:14" s="163" customFormat="1" x14ac:dyDescent="0.2">
      <c r="K140" s="337"/>
      <c r="L140" s="338"/>
      <c r="M140" s="338"/>
      <c r="N140" s="338"/>
    </row>
    <row r="141" spans="11:14" s="163" customFormat="1" x14ac:dyDescent="0.2">
      <c r="K141" s="337"/>
      <c r="L141" s="338"/>
      <c r="M141" s="338"/>
      <c r="N141" s="338"/>
    </row>
    <row r="142" spans="11:14" s="163" customFormat="1" x14ac:dyDescent="0.2">
      <c r="K142" s="337"/>
      <c r="L142" s="338"/>
      <c r="M142" s="338"/>
      <c r="N142" s="338"/>
    </row>
    <row r="143" spans="11:14" s="163" customFormat="1" x14ac:dyDescent="0.2">
      <c r="K143" s="337"/>
      <c r="L143" s="338"/>
      <c r="M143" s="338"/>
      <c r="N143" s="338"/>
    </row>
    <row r="144" spans="11:14" s="163" customFormat="1" x14ac:dyDescent="0.2">
      <c r="K144" s="337"/>
      <c r="L144" s="338"/>
      <c r="M144" s="338"/>
      <c r="N144" s="338"/>
    </row>
    <row r="145" spans="11:14" s="163" customFormat="1" x14ac:dyDescent="0.2">
      <c r="K145" s="337"/>
      <c r="L145" s="338"/>
      <c r="M145" s="338"/>
      <c r="N145" s="338"/>
    </row>
    <row r="146" spans="11:14" s="163" customFormat="1" x14ac:dyDescent="0.2">
      <c r="K146" s="337"/>
      <c r="L146" s="338"/>
      <c r="M146" s="338"/>
      <c r="N146" s="338"/>
    </row>
    <row r="147" spans="11:14" s="163" customFormat="1" x14ac:dyDescent="0.2">
      <c r="K147" s="337"/>
      <c r="L147" s="338"/>
      <c r="M147" s="338"/>
      <c r="N147" s="338"/>
    </row>
    <row r="148" spans="11:14" s="163" customFormat="1" x14ac:dyDescent="0.2">
      <c r="K148" s="337"/>
      <c r="L148" s="338"/>
      <c r="M148" s="338"/>
      <c r="N148" s="338"/>
    </row>
    <row r="149" spans="11:14" s="163" customFormat="1" x14ac:dyDescent="0.2">
      <c r="K149" s="337"/>
      <c r="L149" s="338"/>
      <c r="M149" s="338"/>
      <c r="N149" s="338"/>
    </row>
    <row r="150" spans="11:14" s="163" customFormat="1" x14ac:dyDescent="0.2">
      <c r="K150" s="337"/>
      <c r="L150" s="338"/>
      <c r="M150" s="338"/>
      <c r="N150" s="338"/>
    </row>
    <row r="151" spans="11:14" s="163" customFormat="1" x14ac:dyDescent="0.2">
      <c r="K151" s="337"/>
      <c r="L151" s="338"/>
      <c r="M151" s="338"/>
      <c r="N151" s="338"/>
    </row>
    <row r="152" spans="11:14" s="163" customFormat="1" x14ac:dyDescent="0.2">
      <c r="K152" s="337"/>
      <c r="L152" s="338"/>
      <c r="M152" s="338"/>
      <c r="N152" s="338"/>
    </row>
    <row r="153" spans="11:14" s="163" customFormat="1" x14ac:dyDescent="0.2">
      <c r="K153" s="337"/>
      <c r="L153" s="338"/>
      <c r="M153" s="338"/>
      <c r="N153" s="338"/>
    </row>
    <row r="154" spans="11:14" s="163" customFormat="1" x14ac:dyDescent="0.2">
      <c r="K154" s="337"/>
      <c r="L154" s="338"/>
      <c r="M154" s="338"/>
      <c r="N154" s="338"/>
    </row>
    <row r="155" spans="11:14" s="163" customFormat="1" x14ac:dyDescent="0.2">
      <c r="K155" s="337"/>
      <c r="L155" s="338"/>
      <c r="M155" s="338"/>
      <c r="N155" s="338"/>
    </row>
    <row r="156" spans="11:14" s="163" customFormat="1" x14ac:dyDescent="0.2">
      <c r="K156" s="337"/>
      <c r="L156" s="338"/>
      <c r="M156" s="338"/>
      <c r="N156" s="338"/>
    </row>
    <row r="157" spans="11:14" s="163" customFormat="1" x14ac:dyDescent="0.2">
      <c r="K157" s="337"/>
      <c r="L157" s="338"/>
      <c r="M157" s="338"/>
      <c r="N157" s="338"/>
    </row>
    <row r="158" spans="11:14" s="163" customFormat="1" x14ac:dyDescent="0.2">
      <c r="K158" s="337"/>
      <c r="L158" s="338"/>
      <c r="M158" s="338"/>
      <c r="N158" s="338"/>
    </row>
    <row r="159" spans="11:14" s="163" customFormat="1" x14ac:dyDescent="0.2">
      <c r="K159" s="337"/>
      <c r="L159" s="338"/>
      <c r="M159" s="338"/>
      <c r="N159" s="338"/>
    </row>
    <row r="160" spans="11:14" s="163" customFormat="1" x14ac:dyDescent="0.2">
      <c r="K160" s="337"/>
      <c r="L160" s="338"/>
      <c r="M160" s="338"/>
      <c r="N160" s="338"/>
    </row>
    <row r="161" spans="11:14" s="163" customFormat="1" x14ac:dyDescent="0.2">
      <c r="K161" s="337"/>
      <c r="L161" s="338"/>
      <c r="M161" s="338"/>
      <c r="N161" s="338"/>
    </row>
    <row r="162" spans="11:14" s="163" customFormat="1" x14ac:dyDescent="0.2">
      <c r="K162" s="337"/>
      <c r="L162" s="338"/>
      <c r="M162" s="338"/>
      <c r="N162" s="338"/>
    </row>
    <row r="163" spans="11:14" s="163" customFormat="1" x14ac:dyDescent="0.2">
      <c r="K163" s="337"/>
      <c r="L163" s="338"/>
      <c r="M163" s="338"/>
      <c r="N163" s="338"/>
    </row>
    <row r="164" spans="11:14" s="163" customFormat="1" x14ac:dyDescent="0.2">
      <c r="K164" s="337"/>
      <c r="L164" s="338"/>
      <c r="M164" s="338"/>
      <c r="N164" s="338"/>
    </row>
    <row r="165" spans="11:14" s="163" customFormat="1" x14ac:dyDescent="0.2">
      <c r="K165" s="337"/>
      <c r="L165" s="338"/>
      <c r="M165" s="338"/>
      <c r="N165" s="338"/>
    </row>
    <row r="166" spans="11:14" s="163" customFormat="1" x14ac:dyDescent="0.2">
      <c r="K166" s="337"/>
      <c r="L166" s="338"/>
      <c r="M166" s="338"/>
      <c r="N166" s="338"/>
    </row>
    <row r="167" spans="11:14" s="163" customFormat="1" x14ac:dyDescent="0.2">
      <c r="K167" s="337"/>
      <c r="L167" s="338"/>
      <c r="M167" s="338"/>
      <c r="N167" s="338"/>
    </row>
    <row r="168" spans="11:14" s="163" customFormat="1" x14ac:dyDescent="0.2">
      <c r="K168" s="337"/>
      <c r="L168" s="338"/>
      <c r="M168" s="338"/>
      <c r="N168" s="338"/>
    </row>
  </sheetData>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from Word" prompt="To allow some splitting of text copy and paste paragraphs from Word._x000a_Double click to enable pasting." sqref="B58:I62 B48:I53 B38:I43 B30:I34" xr:uid="{00000000-0002-0000-1400-000000000000}"/>
    <dataValidation type="date" operator="greaterThan" allowBlank="1" showInputMessage="1" showErrorMessage="1" promptTitle="Date" prompt="Please enter the date in the format dd mmm yyy" sqref="M34:N34 M42:N43 M52:N53 M62:N62" xr:uid="{00000000-0002-0000-1400-000001000000}">
      <formula1>43607</formula1>
    </dataValidation>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14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219879DB-1C00-42CF-8A3B-AE2188D8175D}">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403C1F0B-1C9C-4635-BD05-63058B1C2C94}">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AA16DA53-D4D9-420A-BCA8-785FBBC59533}">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C9F41934-BF7D-4BD5-A251-3AE39F227EC6}">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DFB559CD-C2B1-4199-AC87-96659BDC45C1}">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0AFB661B-31F6-4BCD-AFC5-D95B904F3A5D}">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17F9AB8F-FF72-4E0C-8E9A-A9B48FD0DE7D}">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B28169D4-3449-48A9-B3D5-C32227981D6F}">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6652439B-378B-41B5-A6DE-51EFB33CF0CA}">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D4D251C2-4D93-4426-81A2-B269537FB2E1}">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B7507F3A-18A8-468D-8F8A-88801AE32259}">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A16ADF64-0372-43C5-AF72-B9CBFE4CB51D}">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CCF6872C-7A9A-46C9-9A85-1B4AA847F6EA}">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0242F761-018F-4CF2-A5A7-E19909570B07}">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83060480-C308-430E-9B8D-991FCBF29187}">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7E24BF27-7DEE-4677-9596-1D2D6BF4B23E}">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F6427FE7-C6DB-46B7-8658-3112A661FB78}">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69CED5EB-C034-4CF3-86F2-32D07C7D2314}">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C7E3DA0E-75B3-436F-BFBB-2EFBA46B3B09}">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5B9DCC78-FE06-4100-9BE9-2D5E0C14D1C5}">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Work Location(s)" prompt="Please select the MAIN work location(s) you have been based at during this period._x000a__x000a_N.B. Warwick University is JLR Research at Warwick" xr:uid="{00000000-0002-0000-1400-000003000000}">
          <x14:formula1>
            <xm:f>'Drop Down Lists'!$G$2:$G$21</xm:f>
          </x14:formula1>
          <xm:sqref>K5:N6</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1400-000004000000}">
          <x14:formula1>
            <xm:f>'Drop Down Lists'!$A$22:$A$26</xm:f>
          </x14:formula1>
          <xm:sqref>N10:N26</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1400-000005000000}">
          <x14:formula1>
            <xm:f>'Drop Down Lists'!$A$2:$A$3</xm:f>
          </x14:formula1>
          <xm:sqref>I44 I54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1400-000006000000}">
          <x14:formula1>
            <xm:f>'Drop Down Lists'!$A$2:$A$3</xm:f>
          </x14:formula1>
          <xm:sqref>E44 E54</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1400-000007000000}">
          <x14:formula1>
            <xm:f>'Drop Down Lists'!$A$2:$A$3</xm:f>
          </x14:formula1>
          <xm:sqref>C44 C54</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1400-000008000000}">
          <x14:formula1>
            <xm:f>'Drop Down Lists'!$A$22:$A$26</xm:f>
          </x14:formula1>
          <xm:sqref>M10:M26</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1400-000009000000}">
          <x14:formula1>
            <xm:f>'Drop Down Lists'!$A$22:$A$26</xm:f>
          </x14:formula1>
          <xm:sqref>L10:L26</xm:sqref>
        </x14:dataValidation>
        <x14:dataValidation type="list" allowBlank="1" showInputMessage="1" showErrorMessage="1" promptTitle="Attendance" prompt="Attendance &amp; Engagement with the programme:_x000a_Excellent (90-100%)_x000a_Satisfactory (80-90%)_x000a_Concerning (&lt;80%)" xr:uid="{00000000-0002-0000-1400-00000A000000}">
          <x14:formula1>
            <xm:f>'Drop Down Lists'!$A$38:$A$40</xm:f>
          </x14:formula1>
          <xm:sqref>G54 G44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pageSetUpPr fitToPage="1"/>
  </sheetPr>
  <dimension ref="A1:AP168"/>
  <sheetViews>
    <sheetView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Y4 R4</v>
      </c>
      <c r="B1" s="19"/>
      <c r="C1" s="19"/>
      <c r="D1" s="19"/>
      <c r="E1" s="19"/>
      <c r="F1" s="19"/>
      <c r="G1" s="19"/>
      <c r="H1" s="19"/>
      <c r="I1" s="19"/>
      <c r="J1" s="19"/>
      <c r="K1" s="223"/>
      <c r="L1" s="529" t="s">
        <v>256</v>
      </c>
      <c r="M1" s="529"/>
      <c r="N1" s="318">
        <f ca="1">TODAY()</f>
        <v>43969</v>
      </c>
      <c r="O1" s="20"/>
    </row>
    <row r="2" spans="1:42" ht="35" x14ac:dyDescent="0.35">
      <c r="A2" s="14"/>
      <c r="B2" s="465" t="s">
        <v>325</v>
      </c>
      <c r="C2" s="465"/>
      <c r="D2" s="465"/>
      <c r="E2" s="465"/>
      <c r="F2" s="465"/>
      <c r="G2" s="465"/>
      <c r="H2" s="465"/>
      <c r="I2" s="465"/>
      <c r="J2" s="465"/>
      <c r="K2" s="465"/>
      <c r="L2" s="465"/>
      <c r="M2" s="465"/>
      <c r="N2" s="465"/>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36" t="s">
        <v>254</v>
      </c>
      <c r="L4" s="537"/>
      <c r="M4" s="537"/>
      <c r="N4" s="53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19" t="s">
        <v>211</v>
      </c>
      <c r="C5" s="421"/>
      <c r="D5" s="530" t="str">
        <f>'Front Sheet'!C5:C6</f>
        <v>Philip</v>
      </c>
      <c r="E5" s="532" t="str">
        <f>'Front Sheet'!D5:D6</f>
        <v>McGaw</v>
      </c>
      <c r="F5" s="534" t="str">
        <f>'Front Sheet'!G2</f>
        <v>pmcgaw</v>
      </c>
      <c r="G5" s="119">
        <f>'Front Sheet'!J5</f>
        <v>83137730</v>
      </c>
      <c r="H5" s="15"/>
      <c r="I5" s="25"/>
      <c r="J5" s="15"/>
      <c r="K5" s="539"/>
      <c r="L5" s="540"/>
      <c r="M5" s="540"/>
      <c r="N5" s="541"/>
      <c r="O5" s="16"/>
    </row>
    <row r="6" spans="1:42" ht="18" customHeight="1" thickBot="1" x14ac:dyDescent="0.25">
      <c r="A6" s="14"/>
      <c r="B6" s="422"/>
      <c r="C6" s="424"/>
      <c r="D6" s="531"/>
      <c r="E6" s="533"/>
      <c r="F6" s="535"/>
      <c r="G6" s="120">
        <f>'Front Sheet'!J6</f>
        <v>0</v>
      </c>
      <c r="H6" s="15"/>
      <c r="I6" s="25"/>
      <c r="J6" s="15"/>
      <c r="K6" s="542"/>
      <c r="L6" s="543"/>
      <c r="M6" s="543"/>
      <c r="N6" s="544"/>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499" t="s">
        <v>232</v>
      </c>
      <c r="C9" s="527"/>
      <c r="D9" s="527"/>
      <c r="E9" s="527"/>
      <c r="F9" s="527"/>
      <c r="G9" s="527"/>
      <c r="H9" s="527"/>
      <c r="I9" s="528"/>
      <c r="J9" s="15"/>
      <c r="K9" s="26" t="s">
        <v>136</v>
      </c>
      <c r="L9" s="89" t="s">
        <v>126</v>
      </c>
      <c r="M9" s="89" t="s">
        <v>128</v>
      </c>
      <c r="N9" s="96" t="s">
        <v>127</v>
      </c>
      <c r="O9" s="16"/>
      <c r="P9" s="165"/>
      <c r="Q9" s="165"/>
      <c r="R9" s="165"/>
      <c r="S9" s="165"/>
      <c r="T9" s="165"/>
    </row>
    <row r="10" spans="1:42" ht="22.25" customHeight="1" x14ac:dyDescent="0.2">
      <c r="A10" s="14"/>
      <c r="B10" s="502"/>
      <c r="C10" s="503"/>
      <c r="D10" s="503"/>
      <c r="E10" s="503"/>
      <c r="F10" s="503"/>
      <c r="G10" s="503"/>
      <c r="H10" s="503"/>
      <c r="I10" s="504"/>
      <c r="J10" s="15"/>
      <c r="K10" s="27" t="s">
        <v>109</v>
      </c>
      <c r="L10" s="170"/>
      <c r="M10" s="171"/>
      <c r="N10" s="172"/>
      <c r="O10" s="16"/>
    </row>
    <row r="11" spans="1:42" ht="22.25" customHeight="1" x14ac:dyDescent="0.2">
      <c r="A11" s="14"/>
      <c r="B11" s="505"/>
      <c r="C11" s="506"/>
      <c r="D11" s="506"/>
      <c r="E11" s="506"/>
      <c r="F11" s="506"/>
      <c r="G11" s="506"/>
      <c r="H11" s="506"/>
      <c r="I11" s="507"/>
      <c r="J11" s="15"/>
      <c r="K11" s="28" t="s">
        <v>110</v>
      </c>
      <c r="L11" s="173"/>
      <c r="M11" s="173"/>
      <c r="N11" s="174"/>
      <c r="O11" s="16"/>
    </row>
    <row r="12" spans="1:42" ht="22.25" customHeight="1" x14ac:dyDescent="0.2">
      <c r="A12" s="14"/>
      <c r="B12" s="505"/>
      <c r="C12" s="506"/>
      <c r="D12" s="506"/>
      <c r="E12" s="506"/>
      <c r="F12" s="506"/>
      <c r="G12" s="506"/>
      <c r="H12" s="506"/>
      <c r="I12" s="507"/>
      <c r="J12" s="15"/>
      <c r="K12" s="28" t="s">
        <v>111</v>
      </c>
      <c r="L12" s="173"/>
      <c r="M12" s="173"/>
      <c r="N12" s="174"/>
      <c r="O12" s="16"/>
    </row>
    <row r="13" spans="1:42" ht="22.25" customHeight="1" x14ac:dyDescent="0.2">
      <c r="A13" s="14"/>
      <c r="B13" s="505"/>
      <c r="C13" s="506"/>
      <c r="D13" s="506"/>
      <c r="E13" s="506"/>
      <c r="F13" s="506"/>
      <c r="G13" s="506"/>
      <c r="H13" s="506"/>
      <c r="I13" s="507"/>
      <c r="J13" s="15"/>
      <c r="K13" s="28" t="s">
        <v>112</v>
      </c>
      <c r="L13" s="173"/>
      <c r="M13" s="173"/>
      <c r="N13" s="174"/>
      <c r="O13" s="16"/>
    </row>
    <row r="14" spans="1:42" ht="22.25" customHeight="1" x14ac:dyDescent="0.2">
      <c r="A14" s="14"/>
      <c r="B14" s="505"/>
      <c r="C14" s="506"/>
      <c r="D14" s="506"/>
      <c r="E14" s="506"/>
      <c r="F14" s="506"/>
      <c r="G14" s="506"/>
      <c r="H14" s="506"/>
      <c r="I14" s="507"/>
      <c r="J14" s="15"/>
      <c r="K14" s="28" t="s">
        <v>113</v>
      </c>
      <c r="L14" s="173"/>
      <c r="M14" s="173"/>
      <c r="N14" s="174"/>
      <c r="O14" s="16"/>
    </row>
    <row r="15" spans="1:42" ht="22.25" customHeight="1" x14ac:dyDescent="0.2">
      <c r="A15" s="14"/>
      <c r="B15" s="505"/>
      <c r="C15" s="506"/>
      <c r="D15" s="506"/>
      <c r="E15" s="506"/>
      <c r="F15" s="506"/>
      <c r="G15" s="506"/>
      <c r="H15" s="506"/>
      <c r="I15" s="507"/>
      <c r="J15" s="15"/>
      <c r="K15" s="28" t="s">
        <v>114</v>
      </c>
      <c r="L15" s="173"/>
      <c r="M15" s="173"/>
      <c r="N15" s="174"/>
      <c r="O15" s="16"/>
    </row>
    <row r="16" spans="1:42" ht="22.25" customHeight="1" x14ac:dyDescent="0.2">
      <c r="A16" s="14"/>
      <c r="B16" s="505"/>
      <c r="C16" s="506"/>
      <c r="D16" s="506"/>
      <c r="E16" s="506"/>
      <c r="F16" s="506"/>
      <c r="G16" s="506"/>
      <c r="H16" s="506"/>
      <c r="I16" s="507"/>
      <c r="J16" s="15"/>
      <c r="K16" s="28" t="s">
        <v>115</v>
      </c>
      <c r="L16" s="173"/>
      <c r="M16" s="173"/>
      <c r="N16" s="174"/>
      <c r="O16" s="16"/>
    </row>
    <row r="17" spans="1:42" ht="22.25" customHeight="1" x14ac:dyDescent="0.2">
      <c r="A17" s="14"/>
      <c r="B17" s="505"/>
      <c r="C17" s="506"/>
      <c r="D17" s="506"/>
      <c r="E17" s="506"/>
      <c r="F17" s="506"/>
      <c r="G17" s="506"/>
      <c r="H17" s="506"/>
      <c r="I17" s="507"/>
      <c r="J17" s="15"/>
      <c r="K17" s="28" t="s">
        <v>116</v>
      </c>
      <c r="L17" s="173"/>
      <c r="M17" s="173"/>
      <c r="N17" s="174"/>
      <c r="O17" s="16"/>
    </row>
    <row r="18" spans="1:42" ht="22.25" customHeight="1" x14ac:dyDescent="0.2">
      <c r="A18" s="14"/>
      <c r="B18" s="505"/>
      <c r="C18" s="506"/>
      <c r="D18" s="506"/>
      <c r="E18" s="506"/>
      <c r="F18" s="506"/>
      <c r="G18" s="506"/>
      <c r="H18" s="506"/>
      <c r="I18" s="507"/>
      <c r="J18" s="15"/>
      <c r="K18" s="28" t="s">
        <v>117</v>
      </c>
      <c r="L18" s="173"/>
      <c r="M18" s="173"/>
      <c r="N18" s="174"/>
      <c r="O18" s="16"/>
    </row>
    <row r="19" spans="1:42" ht="22.25" customHeight="1" x14ac:dyDescent="0.2">
      <c r="A19" s="14"/>
      <c r="B19" s="505"/>
      <c r="C19" s="506"/>
      <c r="D19" s="506"/>
      <c r="E19" s="506"/>
      <c r="F19" s="506"/>
      <c r="G19" s="506"/>
      <c r="H19" s="506"/>
      <c r="I19" s="507"/>
      <c r="J19" s="15"/>
      <c r="K19" s="28" t="s">
        <v>118</v>
      </c>
      <c r="L19" s="173"/>
      <c r="M19" s="173"/>
      <c r="N19" s="174"/>
      <c r="O19" s="16"/>
    </row>
    <row r="20" spans="1:42" ht="22.25" customHeight="1" x14ac:dyDescent="0.2">
      <c r="A20" s="14"/>
      <c r="B20" s="505"/>
      <c r="C20" s="506"/>
      <c r="D20" s="506"/>
      <c r="E20" s="506"/>
      <c r="F20" s="506"/>
      <c r="G20" s="506"/>
      <c r="H20" s="506"/>
      <c r="I20" s="507"/>
      <c r="J20" s="15"/>
      <c r="K20" s="28" t="s">
        <v>119</v>
      </c>
      <c r="L20" s="173"/>
      <c r="M20" s="173"/>
      <c r="N20" s="174"/>
      <c r="O20" s="16"/>
    </row>
    <row r="21" spans="1:42" ht="22.25" customHeight="1" x14ac:dyDescent="0.2">
      <c r="A21" s="14"/>
      <c r="B21" s="505"/>
      <c r="C21" s="506"/>
      <c r="D21" s="506"/>
      <c r="E21" s="506"/>
      <c r="F21" s="506"/>
      <c r="G21" s="506"/>
      <c r="H21" s="506"/>
      <c r="I21" s="507"/>
      <c r="J21" s="15"/>
      <c r="K21" s="28" t="s">
        <v>120</v>
      </c>
      <c r="L21" s="173"/>
      <c r="M21" s="173"/>
      <c r="N21" s="174"/>
      <c r="O21" s="16"/>
    </row>
    <row r="22" spans="1:42" ht="22.25" customHeight="1" x14ac:dyDescent="0.2">
      <c r="A22" s="14"/>
      <c r="B22" s="505"/>
      <c r="C22" s="506"/>
      <c r="D22" s="506"/>
      <c r="E22" s="506"/>
      <c r="F22" s="506"/>
      <c r="G22" s="506"/>
      <c r="H22" s="506"/>
      <c r="I22" s="507"/>
      <c r="J22" s="15"/>
      <c r="K22" s="28" t="s">
        <v>121</v>
      </c>
      <c r="L22" s="173"/>
      <c r="M22" s="173"/>
      <c r="N22" s="174"/>
      <c r="O22" s="16"/>
    </row>
    <row r="23" spans="1:42" ht="22.25" customHeight="1" x14ac:dyDescent="0.2">
      <c r="A23" s="14"/>
      <c r="B23" s="505"/>
      <c r="C23" s="506"/>
      <c r="D23" s="506"/>
      <c r="E23" s="506"/>
      <c r="F23" s="506"/>
      <c r="G23" s="506"/>
      <c r="H23" s="506"/>
      <c r="I23" s="507"/>
      <c r="J23" s="15"/>
      <c r="K23" s="28" t="s">
        <v>122</v>
      </c>
      <c r="L23" s="173"/>
      <c r="M23" s="173"/>
      <c r="N23" s="174"/>
      <c r="O23" s="16"/>
    </row>
    <row r="24" spans="1:42" ht="22.25" customHeight="1" x14ac:dyDescent="0.2">
      <c r="A24" s="14"/>
      <c r="B24" s="505"/>
      <c r="C24" s="506"/>
      <c r="D24" s="506"/>
      <c r="E24" s="506"/>
      <c r="F24" s="506"/>
      <c r="G24" s="506"/>
      <c r="H24" s="506"/>
      <c r="I24" s="507"/>
      <c r="J24" s="15"/>
      <c r="K24" s="28" t="s">
        <v>123</v>
      </c>
      <c r="L24" s="173"/>
      <c r="M24" s="173"/>
      <c r="N24" s="174"/>
      <c r="O24" s="16"/>
    </row>
    <row r="25" spans="1:42" ht="22.25" customHeight="1" x14ac:dyDescent="0.2">
      <c r="A25" s="14"/>
      <c r="B25" s="505"/>
      <c r="C25" s="506"/>
      <c r="D25" s="506"/>
      <c r="E25" s="506"/>
      <c r="F25" s="506"/>
      <c r="G25" s="506"/>
      <c r="H25" s="506"/>
      <c r="I25" s="507"/>
      <c r="J25" s="15"/>
      <c r="K25" s="28" t="s">
        <v>124</v>
      </c>
      <c r="L25" s="173"/>
      <c r="M25" s="173"/>
      <c r="N25" s="174"/>
      <c r="O25" s="16"/>
    </row>
    <row r="26" spans="1:42" ht="22.25" customHeight="1" thickBot="1" x14ac:dyDescent="0.25">
      <c r="A26" s="14"/>
      <c r="B26" s="508"/>
      <c r="C26" s="509"/>
      <c r="D26" s="509"/>
      <c r="E26" s="509"/>
      <c r="F26" s="509"/>
      <c r="G26" s="509"/>
      <c r="H26" s="509"/>
      <c r="I26" s="510"/>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497" t="s">
        <v>134</v>
      </c>
      <c r="C28" s="498"/>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499" t="s">
        <v>137</v>
      </c>
      <c r="C29" s="500"/>
      <c r="D29" s="500"/>
      <c r="E29" s="500"/>
      <c r="F29" s="500"/>
      <c r="G29" s="500"/>
      <c r="H29" s="500"/>
      <c r="I29" s="501"/>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02"/>
      <c r="C30" s="503"/>
      <c r="D30" s="503"/>
      <c r="E30" s="503"/>
      <c r="F30" s="503"/>
      <c r="G30" s="503"/>
      <c r="H30" s="503"/>
      <c r="I30" s="504"/>
      <c r="J30" s="15"/>
      <c r="K30" s="515" t="s">
        <v>97</v>
      </c>
      <c r="L30" s="516"/>
      <c r="M30" s="519"/>
      <c r="N30" s="520"/>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05"/>
      <c r="C31" s="506"/>
      <c r="D31" s="506"/>
      <c r="E31" s="506"/>
      <c r="F31" s="506"/>
      <c r="G31" s="506"/>
      <c r="H31" s="506"/>
      <c r="I31" s="507"/>
      <c r="J31" s="15"/>
      <c r="K31" s="517"/>
      <c r="L31" s="518"/>
      <c r="M31" s="521"/>
      <c r="N31" s="522"/>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05"/>
      <c r="C32" s="506"/>
      <c r="D32" s="506"/>
      <c r="E32" s="506"/>
      <c r="F32" s="506"/>
      <c r="G32" s="506"/>
      <c r="H32" s="506"/>
      <c r="I32" s="507"/>
      <c r="J32" s="15"/>
      <c r="K32" s="517" t="s">
        <v>98</v>
      </c>
      <c r="L32" s="518"/>
      <c r="M32" s="521"/>
      <c r="N32" s="522"/>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05"/>
      <c r="C33" s="506"/>
      <c r="D33" s="506"/>
      <c r="E33" s="506"/>
      <c r="F33" s="506"/>
      <c r="G33" s="506"/>
      <c r="H33" s="506"/>
      <c r="I33" s="507"/>
      <c r="J33" s="15"/>
      <c r="K33" s="517"/>
      <c r="L33" s="518"/>
      <c r="M33" s="521"/>
      <c r="N33" s="522"/>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08"/>
      <c r="C34" s="509"/>
      <c r="D34" s="509"/>
      <c r="E34" s="509"/>
      <c r="F34" s="509"/>
      <c r="G34" s="509"/>
      <c r="H34" s="509"/>
      <c r="I34" s="510"/>
      <c r="J34" s="15"/>
      <c r="K34" s="511" t="s">
        <v>10</v>
      </c>
      <c r="L34" s="512"/>
      <c r="M34" s="513"/>
      <c r="N34" s="51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497" t="s">
        <v>223</v>
      </c>
      <c r="C36" s="498"/>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499" t="s">
        <v>231</v>
      </c>
      <c r="C37" s="500"/>
      <c r="D37" s="500"/>
      <c r="E37" s="500"/>
      <c r="F37" s="500"/>
      <c r="G37" s="500"/>
      <c r="H37" s="500"/>
      <c r="I37" s="501"/>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02"/>
      <c r="C38" s="503"/>
      <c r="D38" s="503"/>
      <c r="E38" s="503"/>
      <c r="F38" s="503"/>
      <c r="G38" s="503"/>
      <c r="H38" s="503"/>
      <c r="I38" s="504"/>
      <c r="J38" s="15"/>
      <c r="K38" s="515" t="s">
        <v>97</v>
      </c>
      <c r="L38" s="516"/>
      <c r="M38" s="519"/>
      <c r="N38" s="520"/>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05"/>
      <c r="C39" s="506"/>
      <c r="D39" s="506"/>
      <c r="E39" s="506"/>
      <c r="F39" s="506"/>
      <c r="G39" s="506"/>
      <c r="H39" s="506"/>
      <c r="I39" s="507"/>
      <c r="J39" s="15"/>
      <c r="K39" s="517"/>
      <c r="L39" s="518"/>
      <c r="M39" s="521"/>
      <c r="N39" s="522"/>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05"/>
      <c r="C40" s="506"/>
      <c r="D40" s="506"/>
      <c r="E40" s="506"/>
      <c r="F40" s="506"/>
      <c r="G40" s="506"/>
      <c r="H40" s="506"/>
      <c r="I40" s="507"/>
      <c r="J40" s="15"/>
      <c r="K40" s="517" t="s">
        <v>157</v>
      </c>
      <c r="L40" s="518"/>
      <c r="M40" s="521"/>
      <c r="N40" s="522"/>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05"/>
      <c r="C41" s="506"/>
      <c r="D41" s="506"/>
      <c r="E41" s="506"/>
      <c r="F41" s="506"/>
      <c r="G41" s="506"/>
      <c r="H41" s="506"/>
      <c r="I41" s="507"/>
      <c r="J41" s="15"/>
      <c r="K41" s="517"/>
      <c r="L41" s="518"/>
      <c r="M41" s="521"/>
      <c r="N41" s="522"/>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05"/>
      <c r="C42" s="506"/>
      <c r="D42" s="506"/>
      <c r="E42" s="506"/>
      <c r="F42" s="506"/>
      <c r="G42" s="506"/>
      <c r="H42" s="506"/>
      <c r="I42" s="507"/>
      <c r="J42" s="15"/>
      <c r="K42" s="523" t="s">
        <v>10</v>
      </c>
      <c r="L42" s="524"/>
      <c r="M42" s="525"/>
      <c r="N42" s="526"/>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05"/>
      <c r="C43" s="506"/>
      <c r="D43" s="509"/>
      <c r="E43" s="509"/>
      <c r="F43" s="509"/>
      <c r="G43" s="509"/>
      <c r="H43" s="509"/>
      <c r="I43" s="510"/>
      <c r="J43" s="15"/>
      <c r="K43" s="511" t="s">
        <v>260</v>
      </c>
      <c r="L43" s="512"/>
      <c r="M43" s="513"/>
      <c r="N43" s="51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497" t="s">
        <v>223</v>
      </c>
      <c r="C46" s="498"/>
      <c r="D46" s="24"/>
      <c r="E46" s="24"/>
      <c r="F46" s="24"/>
      <c r="G46" s="24"/>
      <c r="H46" s="24"/>
      <c r="I46" s="15"/>
      <c r="J46" s="15"/>
      <c r="K46" s="15"/>
      <c r="L46" s="24"/>
      <c r="M46" s="24"/>
      <c r="N46" s="24"/>
      <c r="O46" s="16"/>
    </row>
    <row r="47" spans="1:42" ht="51" customHeight="1" thickBot="1" x14ac:dyDescent="0.25">
      <c r="A47" s="14"/>
      <c r="B47" s="499" t="s">
        <v>230</v>
      </c>
      <c r="C47" s="500"/>
      <c r="D47" s="500"/>
      <c r="E47" s="500"/>
      <c r="F47" s="500"/>
      <c r="G47" s="500"/>
      <c r="H47" s="500"/>
      <c r="I47" s="501"/>
      <c r="J47" s="15"/>
      <c r="K47" s="15"/>
      <c r="L47" s="24"/>
      <c r="M47" s="24"/>
      <c r="N47" s="24"/>
      <c r="O47" s="16"/>
    </row>
    <row r="48" spans="1:42" ht="22.25" customHeight="1" x14ac:dyDescent="0.2">
      <c r="A48" s="14"/>
      <c r="B48" s="502"/>
      <c r="C48" s="503"/>
      <c r="D48" s="503"/>
      <c r="E48" s="503"/>
      <c r="F48" s="503"/>
      <c r="G48" s="503"/>
      <c r="H48" s="503"/>
      <c r="I48" s="504"/>
      <c r="J48" s="15"/>
      <c r="K48" s="515" t="s">
        <v>97</v>
      </c>
      <c r="L48" s="516"/>
      <c r="M48" s="519"/>
      <c r="N48" s="520"/>
      <c r="O48" s="16"/>
    </row>
    <row r="49" spans="1:15" ht="22.25" customHeight="1" x14ac:dyDescent="0.2">
      <c r="A49" s="14"/>
      <c r="B49" s="505"/>
      <c r="C49" s="506"/>
      <c r="D49" s="506"/>
      <c r="E49" s="506"/>
      <c r="F49" s="506"/>
      <c r="G49" s="506"/>
      <c r="H49" s="506"/>
      <c r="I49" s="507"/>
      <c r="J49" s="15"/>
      <c r="K49" s="517"/>
      <c r="L49" s="518"/>
      <c r="M49" s="521"/>
      <c r="N49" s="522"/>
      <c r="O49" s="16"/>
    </row>
    <row r="50" spans="1:15" ht="22.25" customHeight="1" x14ac:dyDescent="0.2">
      <c r="A50" s="14"/>
      <c r="B50" s="505"/>
      <c r="C50" s="506"/>
      <c r="D50" s="506"/>
      <c r="E50" s="506"/>
      <c r="F50" s="506"/>
      <c r="G50" s="506"/>
      <c r="H50" s="506"/>
      <c r="I50" s="507"/>
      <c r="J50" s="15"/>
      <c r="K50" s="517" t="s">
        <v>157</v>
      </c>
      <c r="L50" s="518"/>
      <c r="M50" s="521"/>
      <c r="N50" s="522"/>
      <c r="O50" s="16"/>
    </row>
    <row r="51" spans="1:15" ht="22.25" customHeight="1" x14ac:dyDescent="0.2">
      <c r="A51" s="14"/>
      <c r="B51" s="505"/>
      <c r="C51" s="506"/>
      <c r="D51" s="506"/>
      <c r="E51" s="506"/>
      <c r="F51" s="506"/>
      <c r="G51" s="506"/>
      <c r="H51" s="506"/>
      <c r="I51" s="507"/>
      <c r="J51" s="15"/>
      <c r="K51" s="517"/>
      <c r="L51" s="518"/>
      <c r="M51" s="521"/>
      <c r="N51" s="522"/>
      <c r="O51" s="16"/>
    </row>
    <row r="52" spans="1:15" ht="22.25" customHeight="1" x14ac:dyDescent="0.2">
      <c r="A52" s="14"/>
      <c r="B52" s="505"/>
      <c r="C52" s="506"/>
      <c r="D52" s="506"/>
      <c r="E52" s="506"/>
      <c r="F52" s="506"/>
      <c r="G52" s="506"/>
      <c r="H52" s="506"/>
      <c r="I52" s="507"/>
      <c r="J52" s="15"/>
      <c r="K52" s="523" t="s">
        <v>10</v>
      </c>
      <c r="L52" s="524"/>
      <c r="M52" s="525"/>
      <c r="N52" s="526"/>
      <c r="O52" s="16"/>
    </row>
    <row r="53" spans="1:15" ht="22.25" customHeight="1" thickBot="1" x14ac:dyDescent="0.25">
      <c r="A53" s="14"/>
      <c r="B53" s="508"/>
      <c r="C53" s="509"/>
      <c r="D53" s="509"/>
      <c r="E53" s="509"/>
      <c r="F53" s="509"/>
      <c r="G53" s="509"/>
      <c r="H53" s="509"/>
      <c r="I53" s="510"/>
      <c r="J53" s="15"/>
      <c r="K53" s="511" t="s">
        <v>259</v>
      </c>
      <c r="L53" s="512"/>
      <c r="M53" s="513"/>
      <c r="N53" s="51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497" t="s">
        <v>135</v>
      </c>
      <c r="C56" s="498"/>
      <c r="D56" s="24"/>
      <c r="E56" s="24"/>
      <c r="F56" s="24"/>
      <c r="G56" s="24"/>
      <c r="H56" s="24"/>
      <c r="I56" s="15"/>
      <c r="J56" s="15"/>
      <c r="K56" s="15"/>
      <c r="L56" s="24"/>
      <c r="M56" s="24"/>
      <c r="N56" s="24"/>
      <c r="O56" s="16"/>
    </row>
    <row r="57" spans="1:15" ht="36" customHeight="1" thickBot="1" x14ac:dyDescent="0.25">
      <c r="A57" s="14"/>
      <c r="B57" s="499" t="s">
        <v>156</v>
      </c>
      <c r="C57" s="500"/>
      <c r="D57" s="500"/>
      <c r="E57" s="500"/>
      <c r="F57" s="500"/>
      <c r="G57" s="500"/>
      <c r="H57" s="500"/>
      <c r="I57" s="501"/>
      <c r="J57" s="15"/>
      <c r="K57" s="15"/>
      <c r="L57" s="24"/>
      <c r="M57" s="24"/>
      <c r="N57" s="24"/>
      <c r="O57" s="16"/>
    </row>
    <row r="58" spans="1:15" ht="22.25" customHeight="1" x14ac:dyDescent="0.2">
      <c r="A58" s="14"/>
      <c r="B58" s="502"/>
      <c r="C58" s="503"/>
      <c r="D58" s="503"/>
      <c r="E58" s="503"/>
      <c r="F58" s="503"/>
      <c r="G58" s="503"/>
      <c r="H58" s="503"/>
      <c r="I58" s="504"/>
      <c r="J58" s="15"/>
      <c r="K58" s="515" t="s">
        <v>97</v>
      </c>
      <c r="L58" s="516"/>
      <c r="M58" s="519"/>
      <c r="N58" s="520"/>
      <c r="O58" s="16"/>
    </row>
    <row r="59" spans="1:15" ht="22.25" customHeight="1" x14ac:dyDescent="0.2">
      <c r="A59" s="14"/>
      <c r="B59" s="505"/>
      <c r="C59" s="506"/>
      <c r="D59" s="506"/>
      <c r="E59" s="506"/>
      <c r="F59" s="506"/>
      <c r="G59" s="506"/>
      <c r="H59" s="506"/>
      <c r="I59" s="507"/>
      <c r="J59" s="15"/>
      <c r="K59" s="517"/>
      <c r="L59" s="518"/>
      <c r="M59" s="521"/>
      <c r="N59" s="522"/>
      <c r="O59" s="16"/>
    </row>
    <row r="60" spans="1:15" ht="22.25" customHeight="1" x14ac:dyDescent="0.2">
      <c r="A60" s="14"/>
      <c r="B60" s="505"/>
      <c r="C60" s="506"/>
      <c r="D60" s="506"/>
      <c r="E60" s="506"/>
      <c r="F60" s="506"/>
      <c r="G60" s="506"/>
      <c r="H60" s="506"/>
      <c r="I60" s="507"/>
      <c r="J60" s="15"/>
      <c r="K60" s="517" t="s">
        <v>158</v>
      </c>
      <c r="L60" s="518"/>
      <c r="M60" s="521"/>
      <c r="N60" s="522"/>
      <c r="O60" s="16"/>
    </row>
    <row r="61" spans="1:15" ht="22.25" customHeight="1" x14ac:dyDescent="0.2">
      <c r="A61" s="14"/>
      <c r="B61" s="505"/>
      <c r="C61" s="506"/>
      <c r="D61" s="506"/>
      <c r="E61" s="506"/>
      <c r="F61" s="506"/>
      <c r="G61" s="506"/>
      <c r="H61" s="506"/>
      <c r="I61" s="507"/>
      <c r="J61" s="15"/>
      <c r="K61" s="517"/>
      <c r="L61" s="518"/>
      <c r="M61" s="521"/>
      <c r="N61" s="522"/>
      <c r="O61" s="16"/>
    </row>
    <row r="62" spans="1:15" ht="22.25" customHeight="1" thickBot="1" x14ac:dyDescent="0.25">
      <c r="A62" s="14"/>
      <c r="B62" s="508"/>
      <c r="C62" s="509"/>
      <c r="D62" s="509"/>
      <c r="E62" s="509"/>
      <c r="F62" s="509"/>
      <c r="G62" s="509"/>
      <c r="H62" s="509"/>
      <c r="I62" s="510"/>
      <c r="J62" s="15"/>
      <c r="K62" s="511" t="s">
        <v>10</v>
      </c>
      <c r="L62" s="512"/>
      <c r="M62" s="513"/>
      <c r="N62" s="51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1500-000000000000}"/>
    <dataValidation type="date" operator="greaterThan" allowBlank="1" showInputMessage="1" showErrorMessage="1" promptTitle="Date" prompt="Please enter the date in the format dd mmm yyy" sqref="M34:N34 M42:N43 M52:N53 M62:N62" xr:uid="{00000000-0002-0000-1500-000001000000}">
      <formula1>43607</formula1>
    </dataValidation>
    <dataValidation allowBlank="1" showInputMessage="1" showErrorMessage="1" promptTitle="Copy &amp; Paste from Word" prompt="To allow some splitting of text copy and paste paragraphs from Word._x000a_Double click to enable pasting." sqref="B58:I62 B48:I53 B38:I43 B30:I34" xr:uid="{00000000-0002-0000-15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B5C34CF9-F668-4DFF-9F52-3606FE5B0B94}">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ACD54FCA-B813-441F-A432-925B31CA28B2}">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4E50ADEF-A202-4288-B511-32C7567701D3}">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72F6CAA8-4E12-4113-ADE5-9C4706E2175D}">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E456B87A-0651-47CC-884E-3D6389D8362B}">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0C80096B-A4E6-4D94-87C9-7C297389E1BE}">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130497C7-4AB8-42DA-B4C6-F8C70FFF52AC}">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C761CEB6-1883-4216-BEE6-EF7D987050FA}">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79B87E53-C0CB-4840-AA9D-8D96B65A5067}">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170A4B6C-550E-499F-AC2D-35826BC3F5F7}">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AC12A69A-AFFB-4ECF-BABF-29B2E79F2B1D}">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DF49BB7C-E53D-4EE5-8614-0806605B0C89}">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E9E2A9DB-EBFE-48C0-BFAF-0790081C2565}">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0F15365B-876A-478A-B130-2755215C6E0B}">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F6FB581A-CA6C-4AB9-8B48-82E130698467}">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AE9C226D-843E-46EA-AF6C-8B58A2E0BC68}">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E078BC66-864D-47D9-8A93-0AF83145FE42}">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34451340-21A0-4D13-A41C-A46EC2A9C8A4}">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132D215A-EB3C-4539-85C9-2022A8F338D3}">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EF103D01-49E7-43EE-BE82-63F9A6C37A72}">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Attendance" prompt="Attendance &amp; Engagement with the programme:_x000a_Excellent (90-100%)_x000a_Satisfactory (80-90%)_x000a_Concerning (&lt;80%)" xr:uid="{00000000-0002-0000-1500-000003000000}">
          <x14:formula1>
            <xm:f>'Drop Down Lists'!$A$38:$A$40</xm:f>
          </x14:formula1>
          <xm:sqref>G54 G44</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1500-000004000000}">
          <x14:formula1>
            <xm:f>'Drop Down Lists'!$A$22:$A$26</xm:f>
          </x14:formula1>
          <xm:sqref>L10:L26</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1500-000005000000}">
          <x14:formula1>
            <xm:f>'Drop Down Lists'!$A$22:$A$26</xm:f>
          </x14:formula1>
          <xm:sqref>M10:M26</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1500-000006000000}">
          <x14:formula1>
            <xm:f>'Drop Down Lists'!$A$2:$A$3</xm:f>
          </x14:formula1>
          <xm:sqref>C44 C54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1500-000007000000}">
          <x14:formula1>
            <xm:f>'Drop Down Lists'!$A$2:$A$3</xm:f>
          </x14:formula1>
          <xm:sqref>E44 E54</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1500-000008000000}">
          <x14:formula1>
            <xm:f>'Drop Down Lists'!$A$2:$A$3</xm:f>
          </x14:formula1>
          <xm:sqref>I44 I54</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1500-000009000000}">
          <x14:formula1>
            <xm:f>'Drop Down Lists'!$A$22:$A$26</xm:f>
          </x14:formula1>
          <xm:sqref>N10:N26</xm:sqref>
        </x14:dataValidation>
        <x14:dataValidation type="list" allowBlank="1" showInputMessage="1" showErrorMessage="1" promptTitle="Work Location(s)" prompt="Please select the MAIN work location(s) you have been based at during this period._x000a__x000a_N.B. Warwick University is JLR Research at Warwick" xr:uid="{00000000-0002-0000-1500-00000A000000}">
          <x14:formula1>
            <xm:f>'Drop Down Lists'!$G$2:$G$21</xm:f>
          </x14:formula1>
          <xm:sqref>K5:N6</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pageSetUpPr fitToPage="1"/>
  </sheetPr>
  <dimension ref="A1:AP168"/>
  <sheetViews>
    <sheetView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Y5 R1</v>
      </c>
      <c r="B1" s="19"/>
      <c r="C1" s="19"/>
      <c r="D1" s="19"/>
      <c r="E1" s="19"/>
      <c r="F1" s="19"/>
      <c r="G1" s="19"/>
      <c r="H1" s="19"/>
      <c r="I1" s="19"/>
      <c r="J1" s="19"/>
      <c r="K1" s="223"/>
      <c r="L1" s="529" t="s">
        <v>256</v>
      </c>
      <c r="M1" s="529"/>
      <c r="N1" s="318">
        <f ca="1">TODAY()</f>
        <v>43969</v>
      </c>
      <c r="O1" s="20"/>
    </row>
    <row r="2" spans="1:42" ht="35" x14ac:dyDescent="0.35">
      <c r="A2" s="14"/>
      <c r="B2" s="465" t="s">
        <v>326</v>
      </c>
      <c r="C2" s="465"/>
      <c r="D2" s="465"/>
      <c r="E2" s="465"/>
      <c r="F2" s="465"/>
      <c r="G2" s="465"/>
      <c r="H2" s="465"/>
      <c r="I2" s="465"/>
      <c r="J2" s="465"/>
      <c r="K2" s="465"/>
      <c r="L2" s="465"/>
      <c r="M2" s="465"/>
      <c r="N2" s="465"/>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36" t="s">
        <v>254</v>
      </c>
      <c r="L4" s="537"/>
      <c r="M4" s="537"/>
      <c r="N4" s="53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19" t="s">
        <v>211</v>
      </c>
      <c r="C5" s="421"/>
      <c r="D5" s="530" t="str">
        <f>'Front Sheet'!C5:C6</f>
        <v>Philip</v>
      </c>
      <c r="E5" s="532" t="str">
        <f>'Front Sheet'!D5:D6</f>
        <v>McGaw</v>
      </c>
      <c r="F5" s="534" t="str">
        <f>'Front Sheet'!G2</f>
        <v>pmcgaw</v>
      </c>
      <c r="G5" s="119">
        <f>'Front Sheet'!J5</f>
        <v>83137730</v>
      </c>
      <c r="H5" s="15"/>
      <c r="I5" s="25"/>
      <c r="J5" s="15"/>
      <c r="K5" s="539"/>
      <c r="L5" s="540"/>
      <c r="M5" s="540"/>
      <c r="N5" s="541"/>
      <c r="O5" s="16"/>
    </row>
    <row r="6" spans="1:42" ht="18" customHeight="1" thickBot="1" x14ac:dyDescent="0.25">
      <c r="A6" s="14"/>
      <c r="B6" s="422"/>
      <c r="C6" s="424"/>
      <c r="D6" s="531"/>
      <c r="E6" s="533"/>
      <c r="F6" s="535"/>
      <c r="G6" s="120">
        <f>'Front Sheet'!J6</f>
        <v>0</v>
      </c>
      <c r="H6" s="15"/>
      <c r="I6" s="25"/>
      <c r="J6" s="15"/>
      <c r="K6" s="542"/>
      <c r="L6" s="543"/>
      <c r="M6" s="543"/>
      <c r="N6" s="544"/>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499" t="s">
        <v>232</v>
      </c>
      <c r="C9" s="527"/>
      <c r="D9" s="527"/>
      <c r="E9" s="527"/>
      <c r="F9" s="527"/>
      <c r="G9" s="527"/>
      <c r="H9" s="527"/>
      <c r="I9" s="528"/>
      <c r="J9" s="15"/>
      <c r="K9" s="26" t="s">
        <v>136</v>
      </c>
      <c r="L9" s="89" t="s">
        <v>126</v>
      </c>
      <c r="M9" s="89" t="s">
        <v>128</v>
      </c>
      <c r="N9" s="96" t="s">
        <v>127</v>
      </c>
      <c r="O9" s="16"/>
      <c r="P9" s="165"/>
      <c r="Q9" s="165"/>
      <c r="R9" s="165"/>
      <c r="S9" s="165"/>
      <c r="T9" s="165"/>
    </row>
    <row r="10" spans="1:42" ht="22.25" customHeight="1" x14ac:dyDescent="0.2">
      <c r="A10" s="14"/>
      <c r="B10" s="502"/>
      <c r="C10" s="503"/>
      <c r="D10" s="503"/>
      <c r="E10" s="503"/>
      <c r="F10" s="503"/>
      <c r="G10" s="503"/>
      <c r="H10" s="503"/>
      <c r="I10" s="504"/>
      <c r="J10" s="15"/>
      <c r="K10" s="27" t="s">
        <v>109</v>
      </c>
      <c r="L10" s="170"/>
      <c r="M10" s="171"/>
      <c r="N10" s="172"/>
      <c r="O10" s="16"/>
    </row>
    <row r="11" spans="1:42" ht="22.25" customHeight="1" x14ac:dyDescent="0.2">
      <c r="A11" s="14"/>
      <c r="B11" s="505"/>
      <c r="C11" s="506"/>
      <c r="D11" s="506"/>
      <c r="E11" s="506"/>
      <c r="F11" s="506"/>
      <c r="G11" s="506"/>
      <c r="H11" s="506"/>
      <c r="I11" s="507"/>
      <c r="J11" s="15"/>
      <c r="K11" s="28" t="s">
        <v>110</v>
      </c>
      <c r="L11" s="173"/>
      <c r="M11" s="173"/>
      <c r="N11" s="174"/>
      <c r="O11" s="16"/>
    </row>
    <row r="12" spans="1:42" ht="22.25" customHeight="1" x14ac:dyDescent="0.2">
      <c r="A12" s="14"/>
      <c r="B12" s="505"/>
      <c r="C12" s="506"/>
      <c r="D12" s="506"/>
      <c r="E12" s="506"/>
      <c r="F12" s="506"/>
      <c r="G12" s="506"/>
      <c r="H12" s="506"/>
      <c r="I12" s="507"/>
      <c r="J12" s="15"/>
      <c r="K12" s="28" t="s">
        <v>111</v>
      </c>
      <c r="L12" s="173"/>
      <c r="M12" s="173"/>
      <c r="N12" s="174"/>
      <c r="O12" s="16"/>
    </row>
    <row r="13" spans="1:42" ht="22.25" customHeight="1" x14ac:dyDescent="0.2">
      <c r="A13" s="14"/>
      <c r="B13" s="505"/>
      <c r="C13" s="506"/>
      <c r="D13" s="506"/>
      <c r="E13" s="506"/>
      <c r="F13" s="506"/>
      <c r="G13" s="506"/>
      <c r="H13" s="506"/>
      <c r="I13" s="507"/>
      <c r="J13" s="15"/>
      <c r="K13" s="28" t="s">
        <v>112</v>
      </c>
      <c r="L13" s="173"/>
      <c r="M13" s="173"/>
      <c r="N13" s="174"/>
      <c r="O13" s="16"/>
    </row>
    <row r="14" spans="1:42" ht="22.25" customHeight="1" x14ac:dyDescent="0.2">
      <c r="A14" s="14"/>
      <c r="B14" s="505"/>
      <c r="C14" s="506"/>
      <c r="D14" s="506"/>
      <c r="E14" s="506"/>
      <c r="F14" s="506"/>
      <c r="G14" s="506"/>
      <c r="H14" s="506"/>
      <c r="I14" s="507"/>
      <c r="J14" s="15"/>
      <c r="K14" s="28" t="s">
        <v>113</v>
      </c>
      <c r="L14" s="173"/>
      <c r="M14" s="173"/>
      <c r="N14" s="174"/>
      <c r="O14" s="16"/>
    </row>
    <row r="15" spans="1:42" ht="22.25" customHeight="1" x14ac:dyDescent="0.2">
      <c r="A15" s="14"/>
      <c r="B15" s="505"/>
      <c r="C15" s="506"/>
      <c r="D15" s="506"/>
      <c r="E15" s="506"/>
      <c r="F15" s="506"/>
      <c r="G15" s="506"/>
      <c r="H15" s="506"/>
      <c r="I15" s="507"/>
      <c r="J15" s="15"/>
      <c r="K15" s="28" t="s">
        <v>114</v>
      </c>
      <c r="L15" s="173"/>
      <c r="M15" s="173"/>
      <c r="N15" s="174"/>
      <c r="O15" s="16"/>
    </row>
    <row r="16" spans="1:42" ht="22.25" customHeight="1" x14ac:dyDescent="0.2">
      <c r="A16" s="14"/>
      <c r="B16" s="505"/>
      <c r="C16" s="506"/>
      <c r="D16" s="506"/>
      <c r="E16" s="506"/>
      <c r="F16" s="506"/>
      <c r="G16" s="506"/>
      <c r="H16" s="506"/>
      <c r="I16" s="507"/>
      <c r="J16" s="15"/>
      <c r="K16" s="28" t="s">
        <v>115</v>
      </c>
      <c r="L16" s="173"/>
      <c r="M16" s="173"/>
      <c r="N16" s="174"/>
      <c r="O16" s="16"/>
    </row>
    <row r="17" spans="1:42" ht="22.25" customHeight="1" x14ac:dyDescent="0.2">
      <c r="A17" s="14"/>
      <c r="B17" s="505"/>
      <c r="C17" s="506"/>
      <c r="D17" s="506"/>
      <c r="E17" s="506"/>
      <c r="F17" s="506"/>
      <c r="G17" s="506"/>
      <c r="H17" s="506"/>
      <c r="I17" s="507"/>
      <c r="J17" s="15"/>
      <c r="K17" s="28" t="s">
        <v>116</v>
      </c>
      <c r="L17" s="173"/>
      <c r="M17" s="173"/>
      <c r="N17" s="174"/>
      <c r="O17" s="16"/>
    </row>
    <row r="18" spans="1:42" ht="22.25" customHeight="1" x14ac:dyDescent="0.2">
      <c r="A18" s="14"/>
      <c r="B18" s="505"/>
      <c r="C18" s="506"/>
      <c r="D18" s="506"/>
      <c r="E18" s="506"/>
      <c r="F18" s="506"/>
      <c r="G18" s="506"/>
      <c r="H18" s="506"/>
      <c r="I18" s="507"/>
      <c r="J18" s="15"/>
      <c r="K18" s="28" t="s">
        <v>117</v>
      </c>
      <c r="L18" s="173"/>
      <c r="M18" s="173"/>
      <c r="N18" s="174"/>
      <c r="O18" s="16"/>
    </row>
    <row r="19" spans="1:42" ht="22.25" customHeight="1" x14ac:dyDescent="0.2">
      <c r="A19" s="14"/>
      <c r="B19" s="505"/>
      <c r="C19" s="506"/>
      <c r="D19" s="506"/>
      <c r="E19" s="506"/>
      <c r="F19" s="506"/>
      <c r="G19" s="506"/>
      <c r="H19" s="506"/>
      <c r="I19" s="507"/>
      <c r="J19" s="15"/>
      <c r="K19" s="28" t="s">
        <v>118</v>
      </c>
      <c r="L19" s="173"/>
      <c r="M19" s="173"/>
      <c r="N19" s="174"/>
      <c r="O19" s="16"/>
    </row>
    <row r="20" spans="1:42" ht="22.25" customHeight="1" x14ac:dyDescent="0.2">
      <c r="A20" s="14"/>
      <c r="B20" s="505"/>
      <c r="C20" s="506"/>
      <c r="D20" s="506"/>
      <c r="E20" s="506"/>
      <c r="F20" s="506"/>
      <c r="G20" s="506"/>
      <c r="H20" s="506"/>
      <c r="I20" s="507"/>
      <c r="J20" s="15"/>
      <c r="K20" s="28" t="s">
        <v>119</v>
      </c>
      <c r="L20" s="173"/>
      <c r="M20" s="173"/>
      <c r="N20" s="174"/>
      <c r="O20" s="16"/>
    </row>
    <row r="21" spans="1:42" ht="22.25" customHeight="1" x14ac:dyDescent="0.2">
      <c r="A21" s="14"/>
      <c r="B21" s="505"/>
      <c r="C21" s="506"/>
      <c r="D21" s="506"/>
      <c r="E21" s="506"/>
      <c r="F21" s="506"/>
      <c r="G21" s="506"/>
      <c r="H21" s="506"/>
      <c r="I21" s="507"/>
      <c r="J21" s="15"/>
      <c r="K21" s="28" t="s">
        <v>120</v>
      </c>
      <c r="L21" s="173"/>
      <c r="M21" s="173"/>
      <c r="N21" s="174"/>
      <c r="O21" s="16"/>
    </row>
    <row r="22" spans="1:42" ht="22.25" customHeight="1" x14ac:dyDescent="0.2">
      <c r="A22" s="14"/>
      <c r="B22" s="505"/>
      <c r="C22" s="506"/>
      <c r="D22" s="506"/>
      <c r="E22" s="506"/>
      <c r="F22" s="506"/>
      <c r="G22" s="506"/>
      <c r="H22" s="506"/>
      <c r="I22" s="507"/>
      <c r="J22" s="15"/>
      <c r="K22" s="28" t="s">
        <v>121</v>
      </c>
      <c r="L22" s="173"/>
      <c r="M22" s="173"/>
      <c r="N22" s="174"/>
      <c r="O22" s="16"/>
    </row>
    <row r="23" spans="1:42" ht="22.25" customHeight="1" x14ac:dyDescent="0.2">
      <c r="A23" s="14"/>
      <c r="B23" s="505"/>
      <c r="C23" s="506"/>
      <c r="D23" s="506"/>
      <c r="E23" s="506"/>
      <c r="F23" s="506"/>
      <c r="G23" s="506"/>
      <c r="H23" s="506"/>
      <c r="I23" s="507"/>
      <c r="J23" s="15"/>
      <c r="K23" s="28" t="s">
        <v>122</v>
      </c>
      <c r="L23" s="173"/>
      <c r="M23" s="173"/>
      <c r="N23" s="174"/>
      <c r="O23" s="16"/>
    </row>
    <row r="24" spans="1:42" ht="22.25" customHeight="1" x14ac:dyDescent="0.2">
      <c r="A24" s="14"/>
      <c r="B24" s="505"/>
      <c r="C24" s="506"/>
      <c r="D24" s="506"/>
      <c r="E24" s="506"/>
      <c r="F24" s="506"/>
      <c r="G24" s="506"/>
      <c r="H24" s="506"/>
      <c r="I24" s="507"/>
      <c r="J24" s="15"/>
      <c r="K24" s="28" t="s">
        <v>123</v>
      </c>
      <c r="L24" s="173"/>
      <c r="M24" s="173"/>
      <c r="N24" s="174"/>
      <c r="O24" s="16"/>
    </row>
    <row r="25" spans="1:42" ht="22.25" customHeight="1" x14ac:dyDescent="0.2">
      <c r="A25" s="14"/>
      <c r="B25" s="505"/>
      <c r="C25" s="506"/>
      <c r="D25" s="506"/>
      <c r="E25" s="506"/>
      <c r="F25" s="506"/>
      <c r="G25" s="506"/>
      <c r="H25" s="506"/>
      <c r="I25" s="507"/>
      <c r="J25" s="15"/>
      <c r="K25" s="28" t="s">
        <v>124</v>
      </c>
      <c r="L25" s="173"/>
      <c r="M25" s="173"/>
      <c r="N25" s="174"/>
      <c r="O25" s="16"/>
    </row>
    <row r="26" spans="1:42" ht="22.25" customHeight="1" thickBot="1" x14ac:dyDescent="0.25">
      <c r="A26" s="14"/>
      <c r="B26" s="508"/>
      <c r="C26" s="509"/>
      <c r="D26" s="509"/>
      <c r="E26" s="509"/>
      <c r="F26" s="509"/>
      <c r="G26" s="509"/>
      <c r="H26" s="509"/>
      <c r="I26" s="510"/>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497" t="s">
        <v>134</v>
      </c>
      <c r="C28" s="498"/>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499" t="s">
        <v>137</v>
      </c>
      <c r="C29" s="500"/>
      <c r="D29" s="500"/>
      <c r="E29" s="500"/>
      <c r="F29" s="500"/>
      <c r="G29" s="500"/>
      <c r="H29" s="500"/>
      <c r="I29" s="501"/>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02"/>
      <c r="C30" s="503"/>
      <c r="D30" s="503"/>
      <c r="E30" s="503"/>
      <c r="F30" s="503"/>
      <c r="G30" s="503"/>
      <c r="H30" s="503"/>
      <c r="I30" s="504"/>
      <c r="J30" s="15"/>
      <c r="K30" s="515" t="s">
        <v>97</v>
      </c>
      <c r="L30" s="516"/>
      <c r="M30" s="519"/>
      <c r="N30" s="520"/>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05"/>
      <c r="C31" s="506"/>
      <c r="D31" s="506"/>
      <c r="E31" s="506"/>
      <c r="F31" s="506"/>
      <c r="G31" s="506"/>
      <c r="H31" s="506"/>
      <c r="I31" s="507"/>
      <c r="J31" s="15"/>
      <c r="K31" s="517"/>
      <c r="L31" s="518"/>
      <c r="M31" s="521"/>
      <c r="N31" s="522"/>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05"/>
      <c r="C32" s="506"/>
      <c r="D32" s="506"/>
      <c r="E32" s="506"/>
      <c r="F32" s="506"/>
      <c r="G32" s="506"/>
      <c r="H32" s="506"/>
      <c r="I32" s="507"/>
      <c r="J32" s="15"/>
      <c r="K32" s="517" t="s">
        <v>98</v>
      </c>
      <c r="L32" s="518"/>
      <c r="M32" s="521"/>
      <c r="N32" s="522"/>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05"/>
      <c r="C33" s="506"/>
      <c r="D33" s="506"/>
      <c r="E33" s="506"/>
      <c r="F33" s="506"/>
      <c r="G33" s="506"/>
      <c r="H33" s="506"/>
      <c r="I33" s="507"/>
      <c r="J33" s="15"/>
      <c r="K33" s="517"/>
      <c r="L33" s="518"/>
      <c r="M33" s="521"/>
      <c r="N33" s="522"/>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08"/>
      <c r="C34" s="509"/>
      <c r="D34" s="509"/>
      <c r="E34" s="509"/>
      <c r="F34" s="509"/>
      <c r="G34" s="509"/>
      <c r="H34" s="509"/>
      <c r="I34" s="510"/>
      <c r="J34" s="15"/>
      <c r="K34" s="511" t="s">
        <v>10</v>
      </c>
      <c r="L34" s="512"/>
      <c r="M34" s="513"/>
      <c r="N34" s="51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497" t="s">
        <v>223</v>
      </c>
      <c r="C36" s="498"/>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499" t="s">
        <v>231</v>
      </c>
      <c r="C37" s="500"/>
      <c r="D37" s="500"/>
      <c r="E37" s="500"/>
      <c r="F37" s="500"/>
      <c r="G37" s="500"/>
      <c r="H37" s="500"/>
      <c r="I37" s="501"/>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02"/>
      <c r="C38" s="503"/>
      <c r="D38" s="503"/>
      <c r="E38" s="503"/>
      <c r="F38" s="503"/>
      <c r="G38" s="503"/>
      <c r="H38" s="503"/>
      <c r="I38" s="504"/>
      <c r="J38" s="15"/>
      <c r="K38" s="515" t="s">
        <v>97</v>
      </c>
      <c r="L38" s="516"/>
      <c r="M38" s="519"/>
      <c r="N38" s="520"/>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05"/>
      <c r="C39" s="506"/>
      <c r="D39" s="506"/>
      <c r="E39" s="506"/>
      <c r="F39" s="506"/>
      <c r="G39" s="506"/>
      <c r="H39" s="506"/>
      <c r="I39" s="507"/>
      <c r="J39" s="15"/>
      <c r="K39" s="517"/>
      <c r="L39" s="518"/>
      <c r="M39" s="521"/>
      <c r="N39" s="522"/>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05"/>
      <c r="C40" s="506"/>
      <c r="D40" s="506"/>
      <c r="E40" s="506"/>
      <c r="F40" s="506"/>
      <c r="G40" s="506"/>
      <c r="H40" s="506"/>
      <c r="I40" s="507"/>
      <c r="J40" s="15"/>
      <c r="K40" s="517" t="s">
        <v>157</v>
      </c>
      <c r="L40" s="518"/>
      <c r="M40" s="521"/>
      <c r="N40" s="522"/>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05"/>
      <c r="C41" s="506"/>
      <c r="D41" s="506"/>
      <c r="E41" s="506"/>
      <c r="F41" s="506"/>
      <c r="G41" s="506"/>
      <c r="H41" s="506"/>
      <c r="I41" s="507"/>
      <c r="J41" s="15"/>
      <c r="K41" s="517"/>
      <c r="L41" s="518"/>
      <c r="M41" s="521"/>
      <c r="N41" s="522"/>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05"/>
      <c r="C42" s="506"/>
      <c r="D42" s="506"/>
      <c r="E42" s="506"/>
      <c r="F42" s="506"/>
      <c r="G42" s="506"/>
      <c r="H42" s="506"/>
      <c r="I42" s="507"/>
      <c r="J42" s="15"/>
      <c r="K42" s="523" t="s">
        <v>10</v>
      </c>
      <c r="L42" s="524"/>
      <c r="M42" s="525"/>
      <c r="N42" s="526"/>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05"/>
      <c r="C43" s="506"/>
      <c r="D43" s="509"/>
      <c r="E43" s="509"/>
      <c r="F43" s="509"/>
      <c r="G43" s="509"/>
      <c r="H43" s="509"/>
      <c r="I43" s="510"/>
      <c r="J43" s="15"/>
      <c r="K43" s="511" t="s">
        <v>260</v>
      </c>
      <c r="L43" s="512"/>
      <c r="M43" s="513"/>
      <c r="N43" s="51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497" t="s">
        <v>223</v>
      </c>
      <c r="C46" s="498"/>
      <c r="D46" s="24"/>
      <c r="E46" s="24"/>
      <c r="F46" s="24"/>
      <c r="G46" s="24"/>
      <c r="H46" s="24"/>
      <c r="I46" s="15"/>
      <c r="J46" s="15"/>
      <c r="K46" s="15"/>
      <c r="L46" s="24"/>
      <c r="M46" s="24"/>
      <c r="N46" s="24"/>
      <c r="O46" s="16"/>
    </row>
    <row r="47" spans="1:42" ht="51" customHeight="1" thickBot="1" x14ac:dyDescent="0.25">
      <c r="A47" s="14"/>
      <c r="B47" s="499" t="s">
        <v>230</v>
      </c>
      <c r="C47" s="500"/>
      <c r="D47" s="500"/>
      <c r="E47" s="500"/>
      <c r="F47" s="500"/>
      <c r="G47" s="500"/>
      <c r="H47" s="500"/>
      <c r="I47" s="501"/>
      <c r="J47" s="15"/>
      <c r="K47" s="15"/>
      <c r="L47" s="24"/>
      <c r="M47" s="24"/>
      <c r="N47" s="24"/>
      <c r="O47" s="16"/>
    </row>
    <row r="48" spans="1:42" ht="22.25" customHeight="1" x14ac:dyDescent="0.2">
      <c r="A48" s="14"/>
      <c r="B48" s="502"/>
      <c r="C48" s="503"/>
      <c r="D48" s="503"/>
      <c r="E48" s="503"/>
      <c r="F48" s="503"/>
      <c r="G48" s="503"/>
      <c r="H48" s="503"/>
      <c r="I48" s="504"/>
      <c r="J48" s="15"/>
      <c r="K48" s="515" t="s">
        <v>97</v>
      </c>
      <c r="L48" s="516"/>
      <c r="M48" s="519"/>
      <c r="N48" s="520"/>
      <c r="O48" s="16"/>
    </row>
    <row r="49" spans="1:15" ht="22.25" customHeight="1" x14ac:dyDescent="0.2">
      <c r="A49" s="14"/>
      <c r="B49" s="505"/>
      <c r="C49" s="506"/>
      <c r="D49" s="506"/>
      <c r="E49" s="506"/>
      <c r="F49" s="506"/>
      <c r="G49" s="506"/>
      <c r="H49" s="506"/>
      <c r="I49" s="507"/>
      <c r="J49" s="15"/>
      <c r="K49" s="517"/>
      <c r="L49" s="518"/>
      <c r="M49" s="521"/>
      <c r="N49" s="522"/>
      <c r="O49" s="16"/>
    </row>
    <row r="50" spans="1:15" ht="22.25" customHeight="1" x14ac:dyDescent="0.2">
      <c r="A50" s="14"/>
      <c r="B50" s="505"/>
      <c r="C50" s="506"/>
      <c r="D50" s="506"/>
      <c r="E50" s="506"/>
      <c r="F50" s="506"/>
      <c r="G50" s="506"/>
      <c r="H50" s="506"/>
      <c r="I50" s="507"/>
      <c r="J50" s="15"/>
      <c r="K50" s="517" t="s">
        <v>157</v>
      </c>
      <c r="L50" s="518"/>
      <c r="M50" s="521"/>
      <c r="N50" s="522"/>
      <c r="O50" s="16"/>
    </row>
    <row r="51" spans="1:15" ht="22.25" customHeight="1" x14ac:dyDescent="0.2">
      <c r="A51" s="14"/>
      <c r="B51" s="505"/>
      <c r="C51" s="506"/>
      <c r="D51" s="506"/>
      <c r="E51" s="506"/>
      <c r="F51" s="506"/>
      <c r="G51" s="506"/>
      <c r="H51" s="506"/>
      <c r="I51" s="507"/>
      <c r="J51" s="15"/>
      <c r="K51" s="517"/>
      <c r="L51" s="518"/>
      <c r="M51" s="521"/>
      <c r="N51" s="522"/>
      <c r="O51" s="16"/>
    </row>
    <row r="52" spans="1:15" ht="22.25" customHeight="1" x14ac:dyDescent="0.2">
      <c r="A52" s="14"/>
      <c r="B52" s="505"/>
      <c r="C52" s="506"/>
      <c r="D52" s="506"/>
      <c r="E52" s="506"/>
      <c r="F52" s="506"/>
      <c r="G52" s="506"/>
      <c r="H52" s="506"/>
      <c r="I52" s="507"/>
      <c r="J52" s="15"/>
      <c r="K52" s="523" t="s">
        <v>10</v>
      </c>
      <c r="L52" s="524"/>
      <c r="M52" s="525"/>
      <c r="N52" s="526"/>
      <c r="O52" s="16"/>
    </row>
    <row r="53" spans="1:15" ht="22.25" customHeight="1" thickBot="1" x14ac:dyDescent="0.25">
      <c r="A53" s="14"/>
      <c r="B53" s="508"/>
      <c r="C53" s="509"/>
      <c r="D53" s="509"/>
      <c r="E53" s="509"/>
      <c r="F53" s="509"/>
      <c r="G53" s="509"/>
      <c r="H53" s="509"/>
      <c r="I53" s="510"/>
      <c r="J53" s="15"/>
      <c r="K53" s="511" t="s">
        <v>259</v>
      </c>
      <c r="L53" s="512"/>
      <c r="M53" s="513"/>
      <c r="N53" s="51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497" t="s">
        <v>135</v>
      </c>
      <c r="C56" s="498"/>
      <c r="D56" s="24"/>
      <c r="E56" s="24"/>
      <c r="F56" s="24"/>
      <c r="G56" s="24"/>
      <c r="H56" s="24"/>
      <c r="I56" s="15"/>
      <c r="J56" s="15"/>
      <c r="K56" s="15"/>
      <c r="L56" s="24"/>
      <c r="M56" s="24"/>
      <c r="N56" s="24"/>
      <c r="O56" s="16"/>
    </row>
    <row r="57" spans="1:15" ht="36" customHeight="1" thickBot="1" x14ac:dyDescent="0.25">
      <c r="A57" s="14"/>
      <c r="B57" s="499" t="s">
        <v>156</v>
      </c>
      <c r="C57" s="500"/>
      <c r="D57" s="500"/>
      <c r="E57" s="500"/>
      <c r="F57" s="500"/>
      <c r="G57" s="500"/>
      <c r="H57" s="500"/>
      <c r="I57" s="501"/>
      <c r="J57" s="15"/>
      <c r="K57" s="15"/>
      <c r="L57" s="24"/>
      <c r="M57" s="24"/>
      <c r="N57" s="24"/>
      <c r="O57" s="16"/>
    </row>
    <row r="58" spans="1:15" ht="22.25" customHeight="1" x14ac:dyDescent="0.2">
      <c r="A58" s="14"/>
      <c r="B58" s="502"/>
      <c r="C58" s="503"/>
      <c r="D58" s="503"/>
      <c r="E58" s="503"/>
      <c r="F58" s="503"/>
      <c r="G58" s="503"/>
      <c r="H58" s="503"/>
      <c r="I58" s="504"/>
      <c r="J58" s="15"/>
      <c r="K58" s="515" t="s">
        <v>97</v>
      </c>
      <c r="L58" s="516"/>
      <c r="M58" s="519"/>
      <c r="N58" s="520"/>
      <c r="O58" s="16"/>
    </row>
    <row r="59" spans="1:15" ht="22.25" customHeight="1" x14ac:dyDescent="0.2">
      <c r="A59" s="14"/>
      <c r="B59" s="505"/>
      <c r="C59" s="506"/>
      <c r="D59" s="506"/>
      <c r="E59" s="506"/>
      <c r="F59" s="506"/>
      <c r="G59" s="506"/>
      <c r="H59" s="506"/>
      <c r="I59" s="507"/>
      <c r="J59" s="15"/>
      <c r="K59" s="517"/>
      <c r="L59" s="518"/>
      <c r="M59" s="521"/>
      <c r="N59" s="522"/>
      <c r="O59" s="16"/>
    </row>
    <row r="60" spans="1:15" ht="22.25" customHeight="1" x14ac:dyDescent="0.2">
      <c r="A60" s="14"/>
      <c r="B60" s="505"/>
      <c r="C60" s="506"/>
      <c r="D60" s="506"/>
      <c r="E60" s="506"/>
      <c r="F60" s="506"/>
      <c r="G60" s="506"/>
      <c r="H60" s="506"/>
      <c r="I60" s="507"/>
      <c r="J60" s="15"/>
      <c r="K60" s="517" t="s">
        <v>158</v>
      </c>
      <c r="L60" s="518"/>
      <c r="M60" s="521"/>
      <c r="N60" s="522"/>
      <c r="O60" s="16"/>
    </row>
    <row r="61" spans="1:15" ht="22.25" customHeight="1" x14ac:dyDescent="0.2">
      <c r="A61" s="14"/>
      <c r="B61" s="505"/>
      <c r="C61" s="506"/>
      <c r="D61" s="506"/>
      <c r="E61" s="506"/>
      <c r="F61" s="506"/>
      <c r="G61" s="506"/>
      <c r="H61" s="506"/>
      <c r="I61" s="507"/>
      <c r="J61" s="15"/>
      <c r="K61" s="517"/>
      <c r="L61" s="518"/>
      <c r="M61" s="521"/>
      <c r="N61" s="522"/>
      <c r="O61" s="16"/>
    </row>
    <row r="62" spans="1:15" ht="22.25" customHeight="1" thickBot="1" x14ac:dyDescent="0.25">
      <c r="A62" s="14"/>
      <c r="B62" s="508"/>
      <c r="C62" s="509"/>
      <c r="D62" s="509"/>
      <c r="E62" s="509"/>
      <c r="F62" s="509"/>
      <c r="G62" s="509"/>
      <c r="H62" s="509"/>
      <c r="I62" s="510"/>
      <c r="J62" s="15"/>
      <c r="K62" s="511" t="s">
        <v>10</v>
      </c>
      <c r="L62" s="512"/>
      <c r="M62" s="513"/>
      <c r="N62" s="51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1600-000000000000}"/>
    <dataValidation type="date" operator="greaterThan" allowBlank="1" showInputMessage="1" showErrorMessage="1" promptTitle="Date" prompt="Please enter the date in the format dd mmm yyy" sqref="M34:N34 M42:N43 M52:N53 M62:N62" xr:uid="{00000000-0002-0000-1600-000001000000}">
      <formula1>43607</formula1>
    </dataValidation>
    <dataValidation allowBlank="1" showInputMessage="1" showErrorMessage="1" promptTitle="Copy &amp; Paste from Word" prompt="To allow some splitting of text copy and paste paragraphs from Word._x000a_Double click to enable pasting." sqref="B58:I62 B48:I53 B38:I43 B30:I34" xr:uid="{00000000-0002-0000-16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ADA50A17-25B0-42A7-BBD5-66F38E55897A}">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D97E7042-5D3D-4FFF-835C-79B5D2BF33AD}">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6EAAE48A-B496-46E7-A3C3-761A76C3AB2E}">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18BA36F0-E85C-4DF2-9FFD-1B056265CBF9}">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2AE639E8-8A9A-407B-8540-4E8660C8969F}">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957D0086-5637-4E4F-A4FB-79E4FBB69563}">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1720623B-1485-4E04-B617-0EBE86538082}">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4EC01816-7185-4CBE-A252-49991465A964}">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EC7C791D-08BB-46AB-AD66-8285B229A303}">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4C7A830C-EFA6-4AF9-BBF5-D7DA89124C09}">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4A81338C-DB47-4D4E-B7B6-89FC8E2D3CDB}">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58C53508-9281-449F-B6F7-3F0CAB8353A2}">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A464B8BF-B7CE-40F8-B9BE-61AF8CD1330E}">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4506AC2B-0531-492A-AB5D-6E80AC4AEBEA}">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BB699F05-2E17-4A13-9405-7A2DBC8F39F0}">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398D66EF-26C3-4DE9-8C22-4ED086A58D0B}">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61C54515-E035-46EA-B75F-99A7952890FE}">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EDB166A6-D0A6-45AF-8FE6-D87CC6AA7F13}">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089175DC-F27C-4BEC-8371-A6AEEB650E1A}">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1D7F0ECB-4D3D-4B18-A028-1E2CF17B4235}">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Attendance" prompt="Attendance &amp; Engagement with the programme:_x000a_Excellent (90-100%)_x000a_Satisfactory (80-90%)_x000a_Concerning (&lt;80%)" xr:uid="{00000000-0002-0000-1600-000003000000}">
          <x14:formula1>
            <xm:f>'Drop Down Lists'!$A$38:$A$40</xm:f>
          </x14:formula1>
          <xm:sqref>G54 G44</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1600-000004000000}">
          <x14:formula1>
            <xm:f>'Drop Down Lists'!$A$22:$A$26</xm:f>
          </x14:formula1>
          <xm:sqref>L10:L26</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1600-000005000000}">
          <x14:formula1>
            <xm:f>'Drop Down Lists'!$A$22:$A$26</xm:f>
          </x14:formula1>
          <xm:sqref>M10:M26</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1600-000006000000}">
          <x14:formula1>
            <xm:f>'Drop Down Lists'!$A$2:$A$3</xm:f>
          </x14:formula1>
          <xm:sqref>C44 C54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1600-000007000000}">
          <x14:formula1>
            <xm:f>'Drop Down Lists'!$A$2:$A$3</xm:f>
          </x14:formula1>
          <xm:sqref>E44 E54</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1600-000008000000}">
          <x14:formula1>
            <xm:f>'Drop Down Lists'!$A$2:$A$3</xm:f>
          </x14:formula1>
          <xm:sqref>I44 I54</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1600-000009000000}">
          <x14:formula1>
            <xm:f>'Drop Down Lists'!$A$22:$A$26</xm:f>
          </x14:formula1>
          <xm:sqref>N10:N26</xm:sqref>
        </x14:dataValidation>
        <x14:dataValidation type="list" allowBlank="1" showInputMessage="1" showErrorMessage="1" promptTitle="Work Location(s)" prompt="Please select the MAIN work location(s) you have been based at during this period._x000a__x000a_N.B. Warwick University is JLR Research at Warwick" xr:uid="{00000000-0002-0000-1600-00000A000000}">
          <x14:formula1>
            <xm:f>'Drop Down Lists'!$G$2:$G$21</xm:f>
          </x14:formula1>
          <xm:sqref>K5:N6</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pageSetUpPr fitToPage="1"/>
  </sheetPr>
  <dimension ref="A1:AP168"/>
  <sheetViews>
    <sheetView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Y5 R2</v>
      </c>
      <c r="B1" s="19"/>
      <c r="C1" s="19"/>
      <c r="D1" s="19"/>
      <c r="E1" s="19"/>
      <c r="F1" s="19"/>
      <c r="G1" s="19"/>
      <c r="H1" s="19"/>
      <c r="I1" s="19"/>
      <c r="J1" s="19"/>
      <c r="K1" s="223"/>
      <c r="L1" s="529" t="s">
        <v>256</v>
      </c>
      <c r="M1" s="529"/>
      <c r="N1" s="318">
        <f ca="1">TODAY()</f>
        <v>43969</v>
      </c>
      <c r="O1" s="20"/>
    </row>
    <row r="2" spans="1:42" ht="35" x14ac:dyDescent="0.35">
      <c r="A2" s="14"/>
      <c r="B2" s="465" t="s">
        <v>327</v>
      </c>
      <c r="C2" s="465"/>
      <c r="D2" s="465"/>
      <c r="E2" s="465"/>
      <c r="F2" s="465"/>
      <c r="G2" s="465"/>
      <c r="H2" s="465"/>
      <c r="I2" s="465"/>
      <c r="J2" s="465"/>
      <c r="K2" s="465"/>
      <c r="L2" s="465"/>
      <c r="M2" s="465"/>
      <c r="N2" s="465"/>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36" t="s">
        <v>254</v>
      </c>
      <c r="L4" s="537"/>
      <c r="M4" s="537"/>
      <c r="N4" s="53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19" t="s">
        <v>211</v>
      </c>
      <c r="C5" s="421"/>
      <c r="D5" s="530" t="str">
        <f>'Front Sheet'!C5:C6</f>
        <v>Philip</v>
      </c>
      <c r="E5" s="532" t="str">
        <f>'Front Sheet'!D5:D6</f>
        <v>McGaw</v>
      </c>
      <c r="F5" s="534" t="str">
        <f>'Front Sheet'!G2</f>
        <v>pmcgaw</v>
      </c>
      <c r="G5" s="119">
        <f>'Front Sheet'!J5</f>
        <v>83137730</v>
      </c>
      <c r="H5" s="15"/>
      <c r="I5" s="25"/>
      <c r="J5" s="15"/>
      <c r="K5" s="539"/>
      <c r="L5" s="540"/>
      <c r="M5" s="540"/>
      <c r="N5" s="541"/>
      <c r="O5" s="16"/>
    </row>
    <row r="6" spans="1:42" ht="18" customHeight="1" thickBot="1" x14ac:dyDescent="0.25">
      <c r="A6" s="14"/>
      <c r="B6" s="422"/>
      <c r="C6" s="424"/>
      <c r="D6" s="531"/>
      <c r="E6" s="533"/>
      <c r="F6" s="535"/>
      <c r="G6" s="120">
        <f>'Front Sheet'!J6</f>
        <v>0</v>
      </c>
      <c r="H6" s="15"/>
      <c r="I6" s="25"/>
      <c r="J6" s="15"/>
      <c r="K6" s="542"/>
      <c r="L6" s="543"/>
      <c r="M6" s="543"/>
      <c r="N6" s="544"/>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499" t="s">
        <v>232</v>
      </c>
      <c r="C9" s="527"/>
      <c r="D9" s="527"/>
      <c r="E9" s="527"/>
      <c r="F9" s="527"/>
      <c r="G9" s="527"/>
      <c r="H9" s="527"/>
      <c r="I9" s="528"/>
      <c r="J9" s="15"/>
      <c r="K9" s="26" t="s">
        <v>136</v>
      </c>
      <c r="L9" s="89" t="s">
        <v>126</v>
      </c>
      <c r="M9" s="89" t="s">
        <v>128</v>
      </c>
      <c r="N9" s="96" t="s">
        <v>127</v>
      </c>
      <c r="O9" s="16"/>
      <c r="P9" s="165"/>
      <c r="Q9" s="165"/>
      <c r="R9" s="165"/>
      <c r="S9" s="165"/>
      <c r="T9" s="165"/>
    </row>
    <row r="10" spans="1:42" ht="22.25" customHeight="1" x14ac:dyDescent="0.2">
      <c r="A10" s="14"/>
      <c r="B10" s="502"/>
      <c r="C10" s="503"/>
      <c r="D10" s="503"/>
      <c r="E10" s="503"/>
      <c r="F10" s="503"/>
      <c r="G10" s="503"/>
      <c r="H10" s="503"/>
      <c r="I10" s="504"/>
      <c r="J10" s="15"/>
      <c r="K10" s="27" t="s">
        <v>109</v>
      </c>
      <c r="L10" s="170"/>
      <c r="M10" s="171"/>
      <c r="N10" s="172"/>
      <c r="O10" s="16"/>
    </row>
    <row r="11" spans="1:42" ht="22.25" customHeight="1" x14ac:dyDescent="0.2">
      <c r="A11" s="14"/>
      <c r="B11" s="505"/>
      <c r="C11" s="506"/>
      <c r="D11" s="506"/>
      <c r="E11" s="506"/>
      <c r="F11" s="506"/>
      <c r="G11" s="506"/>
      <c r="H11" s="506"/>
      <c r="I11" s="507"/>
      <c r="J11" s="15"/>
      <c r="K11" s="28" t="s">
        <v>110</v>
      </c>
      <c r="L11" s="173"/>
      <c r="M11" s="173"/>
      <c r="N11" s="174"/>
      <c r="O11" s="16"/>
    </row>
    <row r="12" spans="1:42" ht="22.25" customHeight="1" x14ac:dyDescent="0.2">
      <c r="A12" s="14"/>
      <c r="B12" s="505"/>
      <c r="C12" s="506"/>
      <c r="D12" s="506"/>
      <c r="E12" s="506"/>
      <c r="F12" s="506"/>
      <c r="G12" s="506"/>
      <c r="H12" s="506"/>
      <c r="I12" s="507"/>
      <c r="J12" s="15"/>
      <c r="K12" s="28" t="s">
        <v>111</v>
      </c>
      <c r="L12" s="173"/>
      <c r="M12" s="173"/>
      <c r="N12" s="174"/>
      <c r="O12" s="16"/>
    </row>
    <row r="13" spans="1:42" ht="22.25" customHeight="1" x14ac:dyDescent="0.2">
      <c r="A13" s="14"/>
      <c r="B13" s="505"/>
      <c r="C13" s="506"/>
      <c r="D13" s="506"/>
      <c r="E13" s="506"/>
      <c r="F13" s="506"/>
      <c r="G13" s="506"/>
      <c r="H13" s="506"/>
      <c r="I13" s="507"/>
      <c r="J13" s="15"/>
      <c r="K13" s="28" t="s">
        <v>112</v>
      </c>
      <c r="L13" s="173"/>
      <c r="M13" s="173"/>
      <c r="N13" s="174"/>
      <c r="O13" s="16"/>
    </row>
    <row r="14" spans="1:42" ht="22.25" customHeight="1" x14ac:dyDescent="0.2">
      <c r="A14" s="14"/>
      <c r="B14" s="505"/>
      <c r="C14" s="506"/>
      <c r="D14" s="506"/>
      <c r="E14" s="506"/>
      <c r="F14" s="506"/>
      <c r="G14" s="506"/>
      <c r="H14" s="506"/>
      <c r="I14" s="507"/>
      <c r="J14" s="15"/>
      <c r="K14" s="28" t="s">
        <v>113</v>
      </c>
      <c r="L14" s="173"/>
      <c r="M14" s="173"/>
      <c r="N14" s="174"/>
      <c r="O14" s="16"/>
    </row>
    <row r="15" spans="1:42" ht="22.25" customHeight="1" x14ac:dyDescent="0.2">
      <c r="A15" s="14"/>
      <c r="B15" s="505"/>
      <c r="C15" s="506"/>
      <c r="D15" s="506"/>
      <c r="E15" s="506"/>
      <c r="F15" s="506"/>
      <c r="G15" s="506"/>
      <c r="H15" s="506"/>
      <c r="I15" s="507"/>
      <c r="J15" s="15"/>
      <c r="K15" s="28" t="s">
        <v>114</v>
      </c>
      <c r="L15" s="173"/>
      <c r="M15" s="173"/>
      <c r="N15" s="174"/>
      <c r="O15" s="16"/>
    </row>
    <row r="16" spans="1:42" ht="22.25" customHeight="1" x14ac:dyDescent="0.2">
      <c r="A16" s="14"/>
      <c r="B16" s="505"/>
      <c r="C16" s="506"/>
      <c r="D16" s="506"/>
      <c r="E16" s="506"/>
      <c r="F16" s="506"/>
      <c r="G16" s="506"/>
      <c r="H16" s="506"/>
      <c r="I16" s="507"/>
      <c r="J16" s="15"/>
      <c r="K16" s="28" t="s">
        <v>115</v>
      </c>
      <c r="L16" s="173"/>
      <c r="M16" s="173"/>
      <c r="N16" s="174"/>
      <c r="O16" s="16"/>
    </row>
    <row r="17" spans="1:42" ht="22.25" customHeight="1" x14ac:dyDescent="0.2">
      <c r="A17" s="14"/>
      <c r="B17" s="505"/>
      <c r="C17" s="506"/>
      <c r="D17" s="506"/>
      <c r="E17" s="506"/>
      <c r="F17" s="506"/>
      <c r="G17" s="506"/>
      <c r="H17" s="506"/>
      <c r="I17" s="507"/>
      <c r="J17" s="15"/>
      <c r="K17" s="28" t="s">
        <v>116</v>
      </c>
      <c r="L17" s="173"/>
      <c r="M17" s="173"/>
      <c r="N17" s="174"/>
      <c r="O17" s="16"/>
    </row>
    <row r="18" spans="1:42" ht="22.25" customHeight="1" x14ac:dyDescent="0.2">
      <c r="A18" s="14"/>
      <c r="B18" s="505"/>
      <c r="C18" s="506"/>
      <c r="D18" s="506"/>
      <c r="E18" s="506"/>
      <c r="F18" s="506"/>
      <c r="G18" s="506"/>
      <c r="H18" s="506"/>
      <c r="I18" s="507"/>
      <c r="J18" s="15"/>
      <c r="K18" s="28" t="s">
        <v>117</v>
      </c>
      <c r="L18" s="173"/>
      <c r="M18" s="173"/>
      <c r="N18" s="174"/>
      <c r="O18" s="16"/>
    </row>
    <row r="19" spans="1:42" ht="22.25" customHeight="1" x14ac:dyDescent="0.2">
      <c r="A19" s="14"/>
      <c r="B19" s="505"/>
      <c r="C19" s="506"/>
      <c r="D19" s="506"/>
      <c r="E19" s="506"/>
      <c r="F19" s="506"/>
      <c r="G19" s="506"/>
      <c r="H19" s="506"/>
      <c r="I19" s="507"/>
      <c r="J19" s="15"/>
      <c r="K19" s="28" t="s">
        <v>118</v>
      </c>
      <c r="L19" s="173"/>
      <c r="M19" s="173"/>
      <c r="N19" s="174"/>
      <c r="O19" s="16"/>
    </row>
    <row r="20" spans="1:42" ht="22.25" customHeight="1" x14ac:dyDescent="0.2">
      <c r="A20" s="14"/>
      <c r="B20" s="505"/>
      <c r="C20" s="506"/>
      <c r="D20" s="506"/>
      <c r="E20" s="506"/>
      <c r="F20" s="506"/>
      <c r="G20" s="506"/>
      <c r="H20" s="506"/>
      <c r="I20" s="507"/>
      <c r="J20" s="15"/>
      <c r="K20" s="28" t="s">
        <v>119</v>
      </c>
      <c r="L20" s="173"/>
      <c r="M20" s="173"/>
      <c r="N20" s="174"/>
      <c r="O20" s="16"/>
    </row>
    <row r="21" spans="1:42" ht="22.25" customHeight="1" x14ac:dyDescent="0.2">
      <c r="A21" s="14"/>
      <c r="B21" s="505"/>
      <c r="C21" s="506"/>
      <c r="D21" s="506"/>
      <c r="E21" s="506"/>
      <c r="F21" s="506"/>
      <c r="G21" s="506"/>
      <c r="H21" s="506"/>
      <c r="I21" s="507"/>
      <c r="J21" s="15"/>
      <c r="K21" s="28" t="s">
        <v>120</v>
      </c>
      <c r="L21" s="173"/>
      <c r="M21" s="173"/>
      <c r="N21" s="174"/>
      <c r="O21" s="16"/>
    </row>
    <row r="22" spans="1:42" ht="22.25" customHeight="1" x14ac:dyDescent="0.2">
      <c r="A22" s="14"/>
      <c r="B22" s="505"/>
      <c r="C22" s="506"/>
      <c r="D22" s="506"/>
      <c r="E22" s="506"/>
      <c r="F22" s="506"/>
      <c r="G22" s="506"/>
      <c r="H22" s="506"/>
      <c r="I22" s="507"/>
      <c r="J22" s="15"/>
      <c r="K22" s="28" t="s">
        <v>121</v>
      </c>
      <c r="L22" s="173"/>
      <c r="M22" s="173"/>
      <c r="N22" s="174"/>
      <c r="O22" s="16"/>
    </row>
    <row r="23" spans="1:42" ht="22.25" customHeight="1" x14ac:dyDescent="0.2">
      <c r="A23" s="14"/>
      <c r="B23" s="505"/>
      <c r="C23" s="506"/>
      <c r="D23" s="506"/>
      <c r="E23" s="506"/>
      <c r="F23" s="506"/>
      <c r="G23" s="506"/>
      <c r="H23" s="506"/>
      <c r="I23" s="507"/>
      <c r="J23" s="15"/>
      <c r="K23" s="28" t="s">
        <v>122</v>
      </c>
      <c r="L23" s="173"/>
      <c r="M23" s="173"/>
      <c r="N23" s="174"/>
      <c r="O23" s="16"/>
    </row>
    <row r="24" spans="1:42" ht="22.25" customHeight="1" x14ac:dyDescent="0.2">
      <c r="A24" s="14"/>
      <c r="B24" s="505"/>
      <c r="C24" s="506"/>
      <c r="D24" s="506"/>
      <c r="E24" s="506"/>
      <c r="F24" s="506"/>
      <c r="G24" s="506"/>
      <c r="H24" s="506"/>
      <c r="I24" s="507"/>
      <c r="J24" s="15"/>
      <c r="K24" s="28" t="s">
        <v>123</v>
      </c>
      <c r="L24" s="173"/>
      <c r="M24" s="173"/>
      <c r="N24" s="174"/>
      <c r="O24" s="16"/>
    </row>
    <row r="25" spans="1:42" ht="22.25" customHeight="1" x14ac:dyDescent="0.2">
      <c r="A25" s="14"/>
      <c r="B25" s="505"/>
      <c r="C25" s="506"/>
      <c r="D25" s="506"/>
      <c r="E25" s="506"/>
      <c r="F25" s="506"/>
      <c r="G25" s="506"/>
      <c r="H25" s="506"/>
      <c r="I25" s="507"/>
      <c r="J25" s="15"/>
      <c r="K25" s="28" t="s">
        <v>124</v>
      </c>
      <c r="L25" s="173"/>
      <c r="M25" s="173"/>
      <c r="N25" s="174"/>
      <c r="O25" s="16"/>
    </row>
    <row r="26" spans="1:42" ht="22.25" customHeight="1" thickBot="1" x14ac:dyDescent="0.25">
      <c r="A26" s="14"/>
      <c r="B26" s="508"/>
      <c r="C26" s="509"/>
      <c r="D26" s="509"/>
      <c r="E26" s="509"/>
      <c r="F26" s="509"/>
      <c r="G26" s="509"/>
      <c r="H26" s="509"/>
      <c r="I26" s="510"/>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497" t="s">
        <v>134</v>
      </c>
      <c r="C28" s="498"/>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499" t="s">
        <v>137</v>
      </c>
      <c r="C29" s="500"/>
      <c r="D29" s="500"/>
      <c r="E29" s="500"/>
      <c r="F29" s="500"/>
      <c r="G29" s="500"/>
      <c r="H29" s="500"/>
      <c r="I29" s="501"/>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02"/>
      <c r="C30" s="503"/>
      <c r="D30" s="503"/>
      <c r="E30" s="503"/>
      <c r="F30" s="503"/>
      <c r="G30" s="503"/>
      <c r="H30" s="503"/>
      <c r="I30" s="504"/>
      <c r="J30" s="15"/>
      <c r="K30" s="515" t="s">
        <v>97</v>
      </c>
      <c r="L30" s="516"/>
      <c r="M30" s="519"/>
      <c r="N30" s="520"/>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05"/>
      <c r="C31" s="506"/>
      <c r="D31" s="506"/>
      <c r="E31" s="506"/>
      <c r="F31" s="506"/>
      <c r="G31" s="506"/>
      <c r="H31" s="506"/>
      <c r="I31" s="507"/>
      <c r="J31" s="15"/>
      <c r="K31" s="517"/>
      <c r="L31" s="518"/>
      <c r="M31" s="521"/>
      <c r="N31" s="522"/>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05"/>
      <c r="C32" s="506"/>
      <c r="D32" s="506"/>
      <c r="E32" s="506"/>
      <c r="F32" s="506"/>
      <c r="G32" s="506"/>
      <c r="H32" s="506"/>
      <c r="I32" s="507"/>
      <c r="J32" s="15"/>
      <c r="K32" s="517" t="s">
        <v>98</v>
      </c>
      <c r="L32" s="518"/>
      <c r="M32" s="521"/>
      <c r="N32" s="522"/>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05"/>
      <c r="C33" s="506"/>
      <c r="D33" s="506"/>
      <c r="E33" s="506"/>
      <c r="F33" s="506"/>
      <c r="G33" s="506"/>
      <c r="H33" s="506"/>
      <c r="I33" s="507"/>
      <c r="J33" s="15"/>
      <c r="K33" s="517"/>
      <c r="L33" s="518"/>
      <c r="M33" s="521"/>
      <c r="N33" s="522"/>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08"/>
      <c r="C34" s="509"/>
      <c r="D34" s="509"/>
      <c r="E34" s="509"/>
      <c r="F34" s="509"/>
      <c r="G34" s="509"/>
      <c r="H34" s="509"/>
      <c r="I34" s="510"/>
      <c r="J34" s="15"/>
      <c r="K34" s="511" t="s">
        <v>10</v>
      </c>
      <c r="L34" s="512"/>
      <c r="M34" s="513"/>
      <c r="N34" s="51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497" t="s">
        <v>223</v>
      </c>
      <c r="C36" s="498"/>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499" t="s">
        <v>231</v>
      </c>
      <c r="C37" s="500"/>
      <c r="D37" s="500"/>
      <c r="E37" s="500"/>
      <c r="F37" s="500"/>
      <c r="G37" s="500"/>
      <c r="H37" s="500"/>
      <c r="I37" s="501"/>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02"/>
      <c r="C38" s="503"/>
      <c r="D38" s="503"/>
      <c r="E38" s="503"/>
      <c r="F38" s="503"/>
      <c r="G38" s="503"/>
      <c r="H38" s="503"/>
      <c r="I38" s="504"/>
      <c r="J38" s="15"/>
      <c r="K38" s="515" t="s">
        <v>97</v>
      </c>
      <c r="L38" s="516"/>
      <c r="M38" s="519"/>
      <c r="N38" s="520"/>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05"/>
      <c r="C39" s="506"/>
      <c r="D39" s="506"/>
      <c r="E39" s="506"/>
      <c r="F39" s="506"/>
      <c r="G39" s="506"/>
      <c r="H39" s="506"/>
      <c r="I39" s="507"/>
      <c r="J39" s="15"/>
      <c r="K39" s="517"/>
      <c r="L39" s="518"/>
      <c r="M39" s="521"/>
      <c r="N39" s="522"/>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05"/>
      <c r="C40" s="506"/>
      <c r="D40" s="506"/>
      <c r="E40" s="506"/>
      <c r="F40" s="506"/>
      <c r="G40" s="506"/>
      <c r="H40" s="506"/>
      <c r="I40" s="507"/>
      <c r="J40" s="15"/>
      <c r="K40" s="517" t="s">
        <v>157</v>
      </c>
      <c r="L40" s="518"/>
      <c r="M40" s="521"/>
      <c r="N40" s="522"/>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05"/>
      <c r="C41" s="506"/>
      <c r="D41" s="506"/>
      <c r="E41" s="506"/>
      <c r="F41" s="506"/>
      <c r="G41" s="506"/>
      <c r="H41" s="506"/>
      <c r="I41" s="507"/>
      <c r="J41" s="15"/>
      <c r="K41" s="517"/>
      <c r="L41" s="518"/>
      <c r="M41" s="521"/>
      <c r="N41" s="522"/>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05"/>
      <c r="C42" s="506"/>
      <c r="D42" s="506"/>
      <c r="E42" s="506"/>
      <c r="F42" s="506"/>
      <c r="G42" s="506"/>
      <c r="H42" s="506"/>
      <c r="I42" s="507"/>
      <c r="J42" s="15"/>
      <c r="K42" s="523" t="s">
        <v>10</v>
      </c>
      <c r="L42" s="524"/>
      <c r="M42" s="525"/>
      <c r="N42" s="526"/>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05"/>
      <c r="C43" s="506"/>
      <c r="D43" s="509"/>
      <c r="E43" s="509"/>
      <c r="F43" s="509"/>
      <c r="G43" s="509"/>
      <c r="H43" s="509"/>
      <c r="I43" s="510"/>
      <c r="J43" s="15"/>
      <c r="K43" s="511" t="s">
        <v>260</v>
      </c>
      <c r="L43" s="512"/>
      <c r="M43" s="513"/>
      <c r="N43" s="51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497" t="s">
        <v>223</v>
      </c>
      <c r="C46" s="498"/>
      <c r="D46" s="24"/>
      <c r="E46" s="24"/>
      <c r="F46" s="24"/>
      <c r="G46" s="24"/>
      <c r="H46" s="24"/>
      <c r="I46" s="15"/>
      <c r="J46" s="15"/>
      <c r="K46" s="15"/>
      <c r="L46" s="24"/>
      <c r="M46" s="24"/>
      <c r="N46" s="24"/>
      <c r="O46" s="16"/>
    </row>
    <row r="47" spans="1:42" ht="51" customHeight="1" thickBot="1" x14ac:dyDescent="0.25">
      <c r="A47" s="14"/>
      <c r="B47" s="499" t="s">
        <v>230</v>
      </c>
      <c r="C47" s="500"/>
      <c r="D47" s="500"/>
      <c r="E47" s="500"/>
      <c r="F47" s="500"/>
      <c r="G47" s="500"/>
      <c r="H47" s="500"/>
      <c r="I47" s="501"/>
      <c r="J47" s="15"/>
      <c r="K47" s="15"/>
      <c r="L47" s="24"/>
      <c r="M47" s="24"/>
      <c r="N47" s="24"/>
      <c r="O47" s="16"/>
    </row>
    <row r="48" spans="1:42" ht="22.25" customHeight="1" x14ac:dyDescent="0.2">
      <c r="A48" s="14"/>
      <c r="B48" s="502"/>
      <c r="C48" s="503"/>
      <c r="D48" s="503"/>
      <c r="E48" s="503"/>
      <c r="F48" s="503"/>
      <c r="G48" s="503"/>
      <c r="H48" s="503"/>
      <c r="I48" s="504"/>
      <c r="J48" s="15"/>
      <c r="K48" s="515" t="s">
        <v>97</v>
      </c>
      <c r="L48" s="516"/>
      <c r="M48" s="519"/>
      <c r="N48" s="520"/>
      <c r="O48" s="16"/>
    </row>
    <row r="49" spans="1:15" ht="22.25" customHeight="1" x14ac:dyDescent="0.2">
      <c r="A49" s="14"/>
      <c r="B49" s="505"/>
      <c r="C49" s="506"/>
      <c r="D49" s="506"/>
      <c r="E49" s="506"/>
      <c r="F49" s="506"/>
      <c r="G49" s="506"/>
      <c r="H49" s="506"/>
      <c r="I49" s="507"/>
      <c r="J49" s="15"/>
      <c r="K49" s="517"/>
      <c r="L49" s="518"/>
      <c r="M49" s="521"/>
      <c r="N49" s="522"/>
      <c r="O49" s="16"/>
    </row>
    <row r="50" spans="1:15" ht="22.25" customHeight="1" x14ac:dyDescent="0.2">
      <c r="A50" s="14"/>
      <c r="B50" s="505"/>
      <c r="C50" s="506"/>
      <c r="D50" s="506"/>
      <c r="E50" s="506"/>
      <c r="F50" s="506"/>
      <c r="G50" s="506"/>
      <c r="H50" s="506"/>
      <c r="I50" s="507"/>
      <c r="J50" s="15"/>
      <c r="K50" s="517" t="s">
        <v>157</v>
      </c>
      <c r="L50" s="518"/>
      <c r="M50" s="521"/>
      <c r="N50" s="522"/>
      <c r="O50" s="16"/>
    </row>
    <row r="51" spans="1:15" ht="22.25" customHeight="1" x14ac:dyDescent="0.2">
      <c r="A51" s="14"/>
      <c r="B51" s="505"/>
      <c r="C51" s="506"/>
      <c r="D51" s="506"/>
      <c r="E51" s="506"/>
      <c r="F51" s="506"/>
      <c r="G51" s="506"/>
      <c r="H51" s="506"/>
      <c r="I51" s="507"/>
      <c r="J51" s="15"/>
      <c r="K51" s="517"/>
      <c r="L51" s="518"/>
      <c r="M51" s="521"/>
      <c r="N51" s="522"/>
      <c r="O51" s="16"/>
    </row>
    <row r="52" spans="1:15" ht="22.25" customHeight="1" x14ac:dyDescent="0.2">
      <c r="A52" s="14"/>
      <c r="B52" s="505"/>
      <c r="C52" s="506"/>
      <c r="D52" s="506"/>
      <c r="E52" s="506"/>
      <c r="F52" s="506"/>
      <c r="G52" s="506"/>
      <c r="H52" s="506"/>
      <c r="I52" s="507"/>
      <c r="J52" s="15"/>
      <c r="K52" s="523" t="s">
        <v>10</v>
      </c>
      <c r="L52" s="524"/>
      <c r="M52" s="525"/>
      <c r="N52" s="526"/>
      <c r="O52" s="16"/>
    </row>
    <row r="53" spans="1:15" ht="22.25" customHeight="1" thickBot="1" x14ac:dyDescent="0.25">
      <c r="A53" s="14"/>
      <c r="B53" s="508"/>
      <c r="C53" s="509"/>
      <c r="D53" s="509"/>
      <c r="E53" s="509"/>
      <c r="F53" s="509"/>
      <c r="G53" s="509"/>
      <c r="H53" s="509"/>
      <c r="I53" s="510"/>
      <c r="J53" s="15"/>
      <c r="K53" s="511" t="s">
        <v>259</v>
      </c>
      <c r="L53" s="512"/>
      <c r="M53" s="513"/>
      <c r="N53" s="51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497" t="s">
        <v>135</v>
      </c>
      <c r="C56" s="498"/>
      <c r="D56" s="24"/>
      <c r="E56" s="24"/>
      <c r="F56" s="24"/>
      <c r="G56" s="24"/>
      <c r="H56" s="24"/>
      <c r="I56" s="15"/>
      <c r="J56" s="15"/>
      <c r="K56" s="15"/>
      <c r="L56" s="24"/>
      <c r="M56" s="24"/>
      <c r="N56" s="24"/>
      <c r="O56" s="16"/>
    </row>
    <row r="57" spans="1:15" ht="36" customHeight="1" thickBot="1" x14ac:dyDescent="0.25">
      <c r="A57" s="14"/>
      <c r="B57" s="499" t="s">
        <v>156</v>
      </c>
      <c r="C57" s="500"/>
      <c r="D57" s="500"/>
      <c r="E57" s="500"/>
      <c r="F57" s="500"/>
      <c r="G57" s="500"/>
      <c r="H57" s="500"/>
      <c r="I57" s="501"/>
      <c r="J57" s="15"/>
      <c r="K57" s="15"/>
      <c r="L57" s="24"/>
      <c r="M57" s="24"/>
      <c r="N57" s="24"/>
      <c r="O57" s="16"/>
    </row>
    <row r="58" spans="1:15" ht="22.25" customHeight="1" x14ac:dyDescent="0.2">
      <c r="A58" s="14"/>
      <c r="B58" s="502"/>
      <c r="C58" s="503"/>
      <c r="D58" s="503"/>
      <c r="E58" s="503"/>
      <c r="F58" s="503"/>
      <c r="G58" s="503"/>
      <c r="H58" s="503"/>
      <c r="I58" s="504"/>
      <c r="J58" s="15"/>
      <c r="K58" s="515" t="s">
        <v>97</v>
      </c>
      <c r="L58" s="516"/>
      <c r="M58" s="519"/>
      <c r="N58" s="520"/>
      <c r="O58" s="16"/>
    </row>
    <row r="59" spans="1:15" ht="22.25" customHeight="1" x14ac:dyDescent="0.2">
      <c r="A59" s="14"/>
      <c r="B59" s="505"/>
      <c r="C59" s="506"/>
      <c r="D59" s="506"/>
      <c r="E59" s="506"/>
      <c r="F59" s="506"/>
      <c r="G59" s="506"/>
      <c r="H59" s="506"/>
      <c r="I59" s="507"/>
      <c r="J59" s="15"/>
      <c r="K59" s="517"/>
      <c r="L59" s="518"/>
      <c r="M59" s="521"/>
      <c r="N59" s="522"/>
      <c r="O59" s="16"/>
    </row>
    <row r="60" spans="1:15" ht="22.25" customHeight="1" x14ac:dyDescent="0.2">
      <c r="A60" s="14"/>
      <c r="B60" s="505"/>
      <c r="C60" s="506"/>
      <c r="D60" s="506"/>
      <c r="E60" s="506"/>
      <c r="F60" s="506"/>
      <c r="G60" s="506"/>
      <c r="H60" s="506"/>
      <c r="I60" s="507"/>
      <c r="J60" s="15"/>
      <c r="K60" s="517" t="s">
        <v>158</v>
      </c>
      <c r="L60" s="518"/>
      <c r="M60" s="521"/>
      <c r="N60" s="522"/>
      <c r="O60" s="16"/>
    </row>
    <row r="61" spans="1:15" ht="22.25" customHeight="1" x14ac:dyDescent="0.2">
      <c r="A61" s="14"/>
      <c r="B61" s="505"/>
      <c r="C61" s="506"/>
      <c r="D61" s="506"/>
      <c r="E61" s="506"/>
      <c r="F61" s="506"/>
      <c r="G61" s="506"/>
      <c r="H61" s="506"/>
      <c r="I61" s="507"/>
      <c r="J61" s="15"/>
      <c r="K61" s="517"/>
      <c r="L61" s="518"/>
      <c r="M61" s="521"/>
      <c r="N61" s="522"/>
      <c r="O61" s="16"/>
    </row>
    <row r="62" spans="1:15" ht="22.25" customHeight="1" thickBot="1" x14ac:dyDescent="0.25">
      <c r="A62" s="14"/>
      <c r="B62" s="508"/>
      <c r="C62" s="509"/>
      <c r="D62" s="509"/>
      <c r="E62" s="509"/>
      <c r="F62" s="509"/>
      <c r="G62" s="509"/>
      <c r="H62" s="509"/>
      <c r="I62" s="510"/>
      <c r="J62" s="15"/>
      <c r="K62" s="511" t="s">
        <v>10</v>
      </c>
      <c r="L62" s="512"/>
      <c r="M62" s="513"/>
      <c r="N62" s="51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from Word" prompt="To allow some splitting of text copy and paste paragraphs from Word._x000a_Double click to enable pasting." sqref="B58:I62 B48:I53 B38:I43 B30:I34" xr:uid="{00000000-0002-0000-1700-000000000000}"/>
    <dataValidation type="date" operator="greaterThan" allowBlank="1" showInputMessage="1" showErrorMessage="1" promptTitle="Date" prompt="Please enter the date in the format dd mmm yyy" sqref="M34:N34 M42:N43 M52:N53 M62:N62" xr:uid="{00000000-0002-0000-1700-000001000000}">
      <formula1>43607</formula1>
    </dataValidation>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17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A5FFA115-6468-4009-84BD-AD4A9FA5AD96}">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764D40C9-679A-4372-9C62-8915A2570ED5}">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D432FDE7-3558-42DD-A6FE-C2F534E4A20A}">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75E3A50C-69BA-4BA3-B011-8CD07DB93D2F}">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B755115F-67C9-4D27-9D30-0E86197A9483}">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A81699CF-1CDB-4DD5-AE42-DED127992470}">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16B30F8B-DE7E-40ED-B602-B0862010CD33}">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3E2178EA-B721-45E1-9282-A70E161F16A3}">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053FECCD-B496-4581-8290-4F25B5196609}">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E344C618-0AB8-490B-8EE6-0DF1CC1DEA44}">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BEFD9780-E6DC-469B-ACCA-8A41A6B4A131}">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8F057C9E-8E75-41C3-AC70-201F4CDD7287}">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B3E23F0A-86B1-46F7-9118-C3E8DFA2675F}">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BF174505-D38B-478E-A1F4-AF2DEDD49D8D}">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34EE8FEE-8A57-4C1F-8180-E676B4EE9EE0}">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814CEE1C-4996-4F22-8CCD-2067CF8E3AFF}">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058F96CD-DEC0-4889-9879-692BD2C72176}">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E0021529-3411-43DA-B1CE-3151CB22BE7F}">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520DFA3D-081D-414F-B14B-05C8616AC52D}">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33194E82-008D-4295-BDCD-830B91F1967D}">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Work Location(s)" prompt="Please select the MAIN work location(s) you have been based at during this period._x000a__x000a_N.B. Warwick University is JLR Research at Warwick" xr:uid="{00000000-0002-0000-1700-000003000000}">
          <x14:formula1>
            <xm:f>'Drop Down Lists'!$G$2:$G$21</xm:f>
          </x14:formula1>
          <xm:sqref>K5:N6</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1700-000004000000}">
          <x14:formula1>
            <xm:f>'Drop Down Lists'!$A$22:$A$26</xm:f>
          </x14:formula1>
          <xm:sqref>N10:N26</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1700-000005000000}">
          <x14:formula1>
            <xm:f>'Drop Down Lists'!$A$2:$A$3</xm:f>
          </x14:formula1>
          <xm:sqref>I44 I54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1700-000006000000}">
          <x14:formula1>
            <xm:f>'Drop Down Lists'!$A$2:$A$3</xm:f>
          </x14:formula1>
          <xm:sqref>E44 E54</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1700-000007000000}">
          <x14:formula1>
            <xm:f>'Drop Down Lists'!$A$2:$A$3</xm:f>
          </x14:formula1>
          <xm:sqref>C44 C54</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1700-000008000000}">
          <x14:formula1>
            <xm:f>'Drop Down Lists'!$A$22:$A$26</xm:f>
          </x14:formula1>
          <xm:sqref>M10:M26</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1700-000009000000}">
          <x14:formula1>
            <xm:f>'Drop Down Lists'!$A$22:$A$26</xm:f>
          </x14:formula1>
          <xm:sqref>L10:L26</xm:sqref>
        </x14:dataValidation>
        <x14:dataValidation type="list" allowBlank="1" showInputMessage="1" showErrorMessage="1" promptTitle="Attendance" prompt="Attendance &amp; Engagement with the programme:_x000a_Excellent (90-100%)_x000a_Satisfactory (80-90%)_x000a_Concerning (&lt;80%)" xr:uid="{00000000-0002-0000-1700-00000A000000}">
          <x14:formula1>
            <xm:f>'Drop Down Lists'!$A$38:$A$40</xm:f>
          </x14:formula1>
          <xm:sqref>G54 G44</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6">
    <pageSetUpPr fitToPage="1"/>
  </sheetPr>
  <dimension ref="A1:AP168"/>
  <sheetViews>
    <sheetView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Y5 R3</v>
      </c>
      <c r="B1" s="19"/>
      <c r="C1" s="19"/>
      <c r="D1" s="19"/>
      <c r="E1" s="19"/>
      <c r="F1" s="19"/>
      <c r="G1" s="19"/>
      <c r="H1" s="19"/>
      <c r="I1" s="19"/>
      <c r="J1" s="19"/>
      <c r="K1" s="223"/>
      <c r="L1" s="529" t="s">
        <v>256</v>
      </c>
      <c r="M1" s="529"/>
      <c r="N1" s="318">
        <f ca="1">TODAY()</f>
        <v>43969</v>
      </c>
      <c r="O1" s="20"/>
    </row>
    <row r="2" spans="1:42" ht="35" x14ac:dyDescent="0.35">
      <c r="A2" s="14"/>
      <c r="B2" s="465" t="s">
        <v>328</v>
      </c>
      <c r="C2" s="465"/>
      <c r="D2" s="465"/>
      <c r="E2" s="465"/>
      <c r="F2" s="465"/>
      <c r="G2" s="465"/>
      <c r="H2" s="465"/>
      <c r="I2" s="465"/>
      <c r="J2" s="465"/>
      <c r="K2" s="465"/>
      <c r="L2" s="465"/>
      <c r="M2" s="465"/>
      <c r="N2" s="465"/>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36" t="s">
        <v>254</v>
      </c>
      <c r="L4" s="537"/>
      <c r="M4" s="537"/>
      <c r="N4" s="53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19" t="s">
        <v>211</v>
      </c>
      <c r="C5" s="421"/>
      <c r="D5" s="530" t="str">
        <f>'Front Sheet'!C5:C6</f>
        <v>Philip</v>
      </c>
      <c r="E5" s="532" t="str">
        <f>'Front Sheet'!D5:D6</f>
        <v>McGaw</v>
      </c>
      <c r="F5" s="534" t="str">
        <f>'Front Sheet'!G2</f>
        <v>pmcgaw</v>
      </c>
      <c r="G5" s="119">
        <f>'Front Sheet'!J5</f>
        <v>83137730</v>
      </c>
      <c r="H5" s="15"/>
      <c r="I5" s="25"/>
      <c r="J5" s="15"/>
      <c r="K5" s="539"/>
      <c r="L5" s="540"/>
      <c r="M5" s="540"/>
      <c r="N5" s="541"/>
      <c r="O5" s="16"/>
    </row>
    <row r="6" spans="1:42" ht="18" customHeight="1" thickBot="1" x14ac:dyDescent="0.25">
      <c r="A6" s="14"/>
      <c r="B6" s="422"/>
      <c r="C6" s="424"/>
      <c r="D6" s="531"/>
      <c r="E6" s="533"/>
      <c r="F6" s="535"/>
      <c r="G6" s="120">
        <f>'Front Sheet'!J6</f>
        <v>0</v>
      </c>
      <c r="H6" s="15"/>
      <c r="I6" s="25"/>
      <c r="J6" s="15"/>
      <c r="K6" s="542"/>
      <c r="L6" s="543"/>
      <c r="M6" s="543"/>
      <c r="N6" s="544"/>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499" t="s">
        <v>232</v>
      </c>
      <c r="C9" s="527"/>
      <c r="D9" s="527"/>
      <c r="E9" s="527"/>
      <c r="F9" s="527"/>
      <c r="G9" s="527"/>
      <c r="H9" s="527"/>
      <c r="I9" s="528"/>
      <c r="J9" s="15"/>
      <c r="K9" s="26" t="s">
        <v>136</v>
      </c>
      <c r="L9" s="89" t="s">
        <v>126</v>
      </c>
      <c r="M9" s="89" t="s">
        <v>128</v>
      </c>
      <c r="N9" s="96" t="s">
        <v>127</v>
      </c>
      <c r="O9" s="16"/>
      <c r="P9" s="165"/>
      <c r="Q9" s="165"/>
      <c r="R9" s="165"/>
      <c r="S9" s="165"/>
      <c r="T9" s="165"/>
    </row>
    <row r="10" spans="1:42" ht="22.25" customHeight="1" x14ac:dyDescent="0.2">
      <c r="A10" s="14"/>
      <c r="B10" s="502"/>
      <c r="C10" s="503"/>
      <c r="D10" s="503"/>
      <c r="E10" s="503"/>
      <c r="F10" s="503"/>
      <c r="G10" s="503"/>
      <c r="H10" s="503"/>
      <c r="I10" s="504"/>
      <c r="J10" s="15"/>
      <c r="K10" s="27" t="s">
        <v>109</v>
      </c>
      <c r="L10" s="170"/>
      <c r="M10" s="171"/>
      <c r="N10" s="172"/>
      <c r="O10" s="16"/>
    </row>
    <row r="11" spans="1:42" ht="22.25" customHeight="1" x14ac:dyDescent="0.2">
      <c r="A11" s="14"/>
      <c r="B11" s="505"/>
      <c r="C11" s="506"/>
      <c r="D11" s="506"/>
      <c r="E11" s="506"/>
      <c r="F11" s="506"/>
      <c r="G11" s="506"/>
      <c r="H11" s="506"/>
      <c r="I11" s="507"/>
      <c r="J11" s="15"/>
      <c r="K11" s="28" t="s">
        <v>110</v>
      </c>
      <c r="L11" s="173"/>
      <c r="M11" s="173"/>
      <c r="N11" s="174"/>
      <c r="O11" s="16"/>
    </row>
    <row r="12" spans="1:42" ht="22.25" customHeight="1" x14ac:dyDescent="0.2">
      <c r="A12" s="14"/>
      <c r="B12" s="505"/>
      <c r="C12" s="506"/>
      <c r="D12" s="506"/>
      <c r="E12" s="506"/>
      <c r="F12" s="506"/>
      <c r="G12" s="506"/>
      <c r="H12" s="506"/>
      <c r="I12" s="507"/>
      <c r="J12" s="15"/>
      <c r="K12" s="28" t="s">
        <v>111</v>
      </c>
      <c r="L12" s="173"/>
      <c r="M12" s="173"/>
      <c r="N12" s="174"/>
      <c r="O12" s="16"/>
    </row>
    <row r="13" spans="1:42" ht="22.25" customHeight="1" x14ac:dyDescent="0.2">
      <c r="A13" s="14"/>
      <c r="B13" s="505"/>
      <c r="C13" s="506"/>
      <c r="D13" s="506"/>
      <c r="E13" s="506"/>
      <c r="F13" s="506"/>
      <c r="G13" s="506"/>
      <c r="H13" s="506"/>
      <c r="I13" s="507"/>
      <c r="J13" s="15"/>
      <c r="K13" s="28" t="s">
        <v>112</v>
      </c>
      <c r="L13" s="173"/>
      <c r="M13" s="173"/>
      <c r="N13" s="174"/>
      <c r="O13" s="16"/>
    </row>
    <row r="14" spans="1:42" ht="22.25" customHeight="1" x14ac:dyDescent="0.2">
      <c r="A14" s="14"/>
      <c r="B14" s="505"/>
      <c r="C14" s="506"/>
      <c r="D14" s="506"/>
      <c r="E14" s="506"/>
      <c r="F14" s="506"/>
      <c r="G14" s="506"/>
      <c r="H14" s="506"/>
      <c r="I14" s="507"/>
      <c r="J14" s="15"/>
      <c r="K14" s="28" t="s">
        <v>113</v>
      </c>
      <c r="L14" s="173"/>
      <c r="M14" s="173"/>
      <c r="N14" s="174"/>
      <c r="O14" s="16"/>
    </row>
    <row r="15" spans="1:42" ht="22.25" customHeight="1" x14ac:dyDescent="0.2">
      <c r="A15" s="14"/>
      <c r="B15" s="505"/>
      <c r="C15" s="506"/>
      <c r="D15" s="506"/>
      <c r="E15" s="506"/>
      <c r="F15" s="506"/>
      <c r="G15" s="506"/>
      <c r="H15" s="506"/>
      <c r="I15" s="507"/>
      <c r="J15" s="15"/>
      <c r="K15" s="28" t="s">
        <v>114</v>
      </c>
      <c r="L15" s="173"/>
      <c r="M15" s="173"/>
      <c r="N15" s="174"/>
      <c r="O15" s="16"/>
    </row>
    <row r="16" spans="1:42" ht="22.25" customHeight="1" x14ac:dyDescent="0.2">
      <c r="A16" s="14"/>
      <c r="B16" s="505"/>
      <c r="C16" s="506"/>
      <c r="D16" s="506"/>
      <c r="E16" s="506"/>
      <c r="F16" s="506"/>
      <c r="G16" s="506"/>
      <c r="H16" s="506"/>
      <c r="I16" s="507"/>
      <c r="J16" s="15"/>
      <c r="K16" s="28" t="s">
        <v>115</v>
      </c>
      <c r="L16" s="173"/>
      <c r="M16" s="173"/>
      <c r="N16" s="174"/>
      <c r="O16" s="16"/>
    </row>
    <row r="17" spans="1:42" ht="22.25" customHeight="1" x14ac:dyDescent="0.2">
      <c r="A17" s="14"/>
      <c r="B17" s="505"/>
      <c r="C17" s="506"/>
      <c r="D17" s="506"/>
      <c r="E17" s="506"/>
      <c r="F17" s="506"/>
      <c r="G17" s="506"/>
      <c r="H17" s="506"/>
      <c r="I17" s="507"/>
      <c r="J17" s="15"/>
      <c r="K17" s="28" t="s">
        <v>116</v>
      </c>
      <c r="L17" s="173"/>
      <c r="M17" s="173"/>
      <c r="N17" s="174"/>
      <c r="O17" s="16"/>
    </row>
    <row r="18" spans="1:42" ht="22.25" customHeight="1" x14ac:dyDescent="0.2">
      <c r="A18" s="14"/>
      <c r="B18" s="505"/>
      <c r="C18" s="506"/>
      <c r="D18" s="506"/>
      <c r="E18" s="506"/>
      <c r="F18" s="506"/>
      <c r="G18" s="506"/>
      <c r="H18" s="506"/>
      <c r="I18" s="507"/>
      <c r="J18" s="15"/>
      <c r="K18" s="28" t="s">
        <v>117</v>
      </c>
      <c r="L18" s="173"/>
      <c r="M18" s="173"/>
      <c r="N18" s="174"/>
      <c r="O18" s="16"/>
    </row>
    <row r="19" spans="1:42" ht="22.25" customHeight="1" x14ac:dyDescent="0.2">
      <c r="A19" s="14"/>
      <c r="B19" s="505"/>
      <c r="C19" s="506"/>
      <c r="D19" s="506"/>
      <c r="E19" s="506"/>
      <c r="F19" s="506"/>
      <c r="G19" s="506"/>
      <c r="H19" s="506"/>
      <c r="I19" s="507"/>
      <c r="J19" s="15"/>
      <c r="K19" s="28" t="s">
        <v>118</v>
      </c>
      <c r="L19" s="173"/>
      <c r="M19" s="173"/>
      <c r="N19" s="174"/>
      <c r="O19" s="16"/>
    </row>
    <row r="20" spans="1:42" ht="22.25" customHeight="1" x14ac:dyDescent="0.2">
      <c r="A20" s="14"/>
      <c r="B20" s="505"/>
      <c r="C20" s="506"/>
      <c r="D20" s="506"/>
      <c r="E20" s="506"/>
      <c r="F20" s="506"/>
      <c r="G20" s="506"/>
      <c r="H20" s="506"/>
      <c r="I20" s="507"/>
      <c r="J20" s="15"/>
      <c r="K20" s="28" t="s">
        <v>119</v>
      </c>
      <c r="L20" s="173"/>
      <c r="M20" s="173"/>
      <c r="N20" s="174"/>
      <c r="O20" s="16"/>
    </row>
    <row r="21" spans="1:42" ht="22.25" customHeight="1" x14ac:dyDescent="0.2">
      <c r="A21" s="14"/>
      <c r="B21" s="505"/>
      <c r="C21" s="506"/>
      <c r="D21" s="506"/>
      <c r="E21" s="506"/>
      <c r="F21" s="506"/>
      <c r="G21" s="506"/>
      <c r="H21" s="506"/>
      <c r="I21" s="507"/>
      <c r="J21" s="15"/>
      <c r="K21" s="28" t="s">
        <v>120</v>
      </c>
      <c r="L21" s="173"/>
      <c r="M21" s="173"/>
      <c r="N21" s="174"/>
      <c r="O21" s="16"/>
    </row>
    <row r="22" spans="1:42" ht="22.25" customHeight="1" x14ac:dyDescent="0.2">
      <c r="A22" s="14"/>
      <c r="B22" s="505"/>
      <c r="C22" s="506"/>
      <c r="D22" s="506"/>
      <c r="E22" s="506"/>
      <c r="F22" s="506"/>
      <c r="G22" s="506"/>
      <c r="H22" s="506"/>
      <c r="I22" s="507"/>
      <c r="J22" s="15"/>
      <c r="K22" s="28" t="s">
        <v>121</v>
      </c>
      <c r="L22" s="173"/>
      <c r="M22" s="173"/>
      <c r="N22" s="174"/>
      <c r="O22" s="16"/>
    </row>
    <row r="23" spans="1:42" ht="22.25" customHeight="1" x14ac:dyDescent="0.2">
      <c r="A23" s="14"/>
      <c r="B23" s="505"/>
      <c r="C23" s="506"/>
      <c r="D23" s="506"/>
      <c r="E23" s="506"/>
      <c r="F23" s="506"/>
      <c r="G23" s="506"/>
      <c r="H23" s="506"/>
      <c r="I23" s="507"/>
      <c r="J23" s="15"/>
      <c r="K23" s="28" t="s">
        <v>122</v>
      </c>
      <c r="L23" s="173"/>
      <c r="M23" s="173"/>
      <c r="N23" s="174"/>
      <c r="O23" s="16"/>
    </row>
    <row r="24" spans="1:42" ht="22.25" customHeight="1" x14ac:dyDescent="0.2">
      <c r="A24" s="14"/>
      <c r="B24" s="505"/>
      <c r="C24" s="506"/>
      <c r="D24" s="506"/>
      <c r="E24" s="506"/>
      <c r="F24" s="506"/>
      <c r="G24" s="506"/>
      <c r="H24" s="506"/>
      <c r="I24" s="507"/>
      <c r="J24" s="15"/>
      <c r="K24" s="28" t="s">
        <v>123</v>
      </c>
      <c r="L24" s="173"/>
      <c r="M24" s="173"/>
      <c r="N24" s="174"/>
      <c r="O24" s="16"/>
    </row>
    <row r="25" spans="1:42" ht="22.25" customHeight="1" x14ac:dyDescent="0.2">
      <c r="A25" s="14"/>
      <c r="B25" s="505"/>
      <c r="C25" s="506"/>
      <c r="D25" s="506"/>
      <c r="E25" s="506"/>
      <c r="F25" s="506"/>
      <c r="G25" s="506"/>
      <c r="H25" s="506"/>
      <c r="I25" s="507"/>
      <c r="J25" s="15"/>
      <c r="K25" s="28" t="s">
        <v>124</v>
      </c>
      <c r="L25" s="173"/>
      <c r="M25" s="173"/>
      <c r="N25" s="174"/>
      <c r="O25" s="16"/>
    </row>
    <row r="26" spans="1:42" ht="22.25" customHeight="1" thickBot="1" x14ac:dyDescent="0.25">
      <c r="A26" s="14"/>
      <c r="B26" s="508"/>
      <c r="C26" s="509"/>
      <c r="D26" s="509"/>
      <c r="E26" s="509"/>
      <c r="F26" s="509"/>
      <c r="G26" s="509"/>
      <c r="H26" s="509"/>
      <c r="I26" s="510"/>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497" t="s">
        <v>134</v>
      </c>
      <c r="C28" s="498"/>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499" t="s">
        <v>137</v>
      </c>
      <c r="C29" s="500"/>
      <c r="D29" s="500"/>
      <c r="E29" s="500"/>
      <c r="F29" s="500"/>
      <c r="G29" s="500"/>
      <c r="H29" s="500"/>
      <c r="I29" s="501"/>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02"/>
      <c r="C30" s="503"/>
      <c r="D30" s="503"/>
      <c r="E30" s="503"/>
      <c r="F30" s="503"/>
      <c r="G30" s="503"/>
      <c r="H30" s="503"/>
      <c r="I30" s="504"/>
      <c r="J30" s="15"/>
      <c r="K30" s="515" t="s">
        <v>97</v>
      </c>
      <c r="L30" s="516"/>
      <c r="M30" s="519"/>
      <c r="N30" s="520"/>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05"/>
      <c r="C31" s="506"/>
      <c r="D31" s="506"/>
      <c r="E31" s="506"/>
      <c r="F31" s="506"/>
      <c r="G31" s="506"/>
      <c r="H31" s="506"/>
      <c r="I31" s="507"/>
      <c r="J31" s="15"/>
      <c r="K31" s="517"/>
      <c r="L31" s="518"/>
      <c r="M31" s="521"/>
      <c r="N31" s="522"/>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05"/>
      <c r="C32" s="506"/>
      <c r="D32" s="506"/>
      <c r="E32" s="506"/>
      <c r="F32" s="506"/>
      <c r="G32" s="506"/>
      <c r="H32" s="506"/>
      <c r="I32" s="507"/>
      <c r="J32" s="15"/>
      <c r="K32" s="517" t="s">
        <v>98</v>
      </c>
      <c r="L32" s="518"/>
      <c r="M32" s="521"/>
      <c r="N32" s="522"/>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05"/>
      <c r="C33" s="506"/>
      <c r="D33" s="506"/>
      <c r="E33" s="506"/>
      <c r="F33" s="506"/>
      <c r="G33" s="506"/>
      <c r="H33" s="506"/>
      <c r="I33" s="507"/>
      <c r="J33" s="15"/>
      <c r="K33" s="517"/>
      <c r="L33" s="518"/>
      <c r="M33" s="521"/>
      <c r="N33" s="522"/>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08"/>
      <c r="C34" s="509"/>
      <c r="D34" s="509"/>
      <c r="E34" s="509"/>
      <c r="F34" s="509"/>
      <c r="G34" s="509"/>
      <c r="H34" s="509"/>
      <c r="I34" s="510"/>
      <c r="J34" s="15"/>
      <c r="K34" s="511" t="s">
        <v>10</v>
      </c>
      <c r="L34" s="512"/>
      <c r="M34" s="513"/>
      <c r="N34" s="51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497" t="s">
        <v>223</v>
      </c>
      <c r="C36" s="498"/>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499" t="s">
        <v>231</v>
      </c>
      <c r="C37" s="500"/>
      <c r="D37" s="500"/>
      <c r="E37" s="500"/>
      <c r="F37" s="500"/>
      <c r="G37" s="500"/>
      <c r="H37" s="500"/>
      <c r="I37" s="501"/>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02"/>
      <c r="C38" s="503"/>
      <c r="D38" s="503"/>
      <c r="E38" s="503"/>
      <c r="F38" s="503"/>
      <c r="G38" s="503"/>
      <c r="H38" s="503"/>
      <c r="I38" s="504"/>
      <c r="J38" s="15"/>
      <c r="K38" s="515" t="s">
        <v>97</v>
      </c>
      <c r="L38" s="516"/>
      <c r="M38" s="519"/>
      <c r="N38" s="520"/>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05"/>
      <c r="C39" s="506"/>
      <c r="D39" s="506"/>
      <c r="E39" s="506"/>
      <c r="F39" s="506"/>
      <c r="G39" s="506"/>
      <c r="H39" s="506"/>
      <c r="I39" s="507"/>
      <c r="J39" s="15"/>
      <c r="K39" s="517"/>
      <c r="L39" s="518"/>
      <c r="M39" s="521"/>
      <c r="N39" s="522"/>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05"/>
      <c r="C40" s="506"/>
      <c r="D40" s="506"/>
      <c r="E40" s="506"/>
      <c r="F40" s="506"/>
      <c r="G40" s="506"/>
      <c r="H40" s="506"/>
      <c r="I40" s="507"/>
      <c r="J40" s="15"/>
      <c r="K40" s="517" t="s">
        <v>157</v>
      </c>
      <c r="L40" s="518"/>
      <c r="M40" s="521"/>
      <c r="N40" s="522"/>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05"/>
      <c r="C41" s="506"/>
      <c r="D41" s="506"/>
      <c r="E41" s="506"/>
      <c r="F41" s="506"/>
      <c r="G41" s="506"/>
      <c r="H41" s="506"/>
      <c r="I41" s="507"/>
      <c r="J41" s="15"/>
      <c r="K41" s="517"/>
      <c r="L41" s="518"/>
      <c r="M41" s="521"/>
      <c r="N41" s="522"/>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05"/>
      <c r="C42" s="506"/>
      <c r="D42" s="506"/>
      <c r="E42" s="506"/>
      <c r="F42" s="506"/>
      <c r="G42" s="506"/>
      <c r="H42" s="506"/>
      <c r="I42" s="507"/>
      <c r="J42" s="15"/>
      <c r="K42" s="523" t="s">
        <v>10</v>
      </c>
      <c r="L42" s="524"/>
      <c r="M42" s="525"/>
      <c r="N42" s="526"/>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05"/>
      <c r="C43" s="506"/>
      <c r="D43" s="509"/>
      <c r="E43" s="509"/>
      <c r="F43" s="509"/>
      <c r="G43" s="509"/>
      <c r="H43" s="509"/>
      <c r="I43" s="510"/>
      <c r="J43" s="15"/>
      <c r="K43" s="511" t="s">
        <v>260</v>
      </c>
      <c r="L43" s="512"/>
      <c r="M43" s="513"/>
      <c r="N43" s="51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497" t="s">
        <v>223</v>
      </c>
      <c r="C46" s="498"/>
      <c r="D46" s="24"/>
      <c r="E46" s="24"/>
      <c r="F46" s="24"/>
      <c r="G46" s="24"/>
      <c r="H46" s="24"/>
      <c r="I46" s="15"/>
      <c r="J46" s="15"/>
      <c r="K46" s="15"/>
      <c r="L46" s="24"/>
      <c r="M46" s="24"/>
      <c r="N46" s="24"/>
      <c r="O46" s="16"/>
    </row>
    <row r="47" spans="1:42" ht="51" customHeight="1" thickBot="1" x14ac:dyDescent="0.25">
      <c r="A47" s="14"/>
      <c r="B47" s="499" t="s">
        <v>230</v>
      </c>
      <c r="C47" s="500"/>
      <c r="D47" s="500"/>
      <c r="E47" s="500"/>
      <c r="F47" s="500"/>
      <c r="G47" s="500"/>
      <c r="H47" s="500"/>
      <c r="I47" s="501"/>
      <c r="J47" s="15"/>
      <c r="K47" s="15"/>
      <c r="L47" s="24"/>
      <c r="M47" s="24"/>
      <c r="N47" s="24"/>
      <c r="O47" s="16"/>
    </row>
    <row r="48" spans="1:42" ht="22.25" customHeight="1" x14ac:dyDescent="0.2">
      <c r="A48" s="14"/>
      <c r="B48" s="502"/>
      <c r="C48" s="503"/>
      <c r="D48" s="503"/>
      <c r="E48" s="503"/>
      <c r="F48" s="503"/>
      <c r="G48" s="503"/>
      <c r="H48" s="503"/>
      <c r="I48" s="504"/>
      <c r="J48" s="15"/>
      <c r="K48" s="515" t="s">
        <v>97</v>
      </c>
      <c r="L48" s="516"/>
      <c r="M48" s="519"/>
      <c r="N48" s="520"/>
      <c r="O48" s="16"/>
    </row>
    <row r="49" spans="1:15" ht="22.25" customHeight="1" x14ac:dyDescent="0.2">
      <c r="A49" s="14"/>
      <c r="B49" s="505"/>
      <c r="C49" s="506"/>
      <c r="D49" s="506"/>
      <c r="E49" s="506"/>
      <c r="F49" s="506"/>
      <c r="G49" s="506"/>
      <c r="H49" s="506"/>
      <c r="I49" s="507"/>
      <c r="J49" s="15"/>
      <c r="K49" s="517"/>
      <c r="L49" s="518"/>
      <c r="M49" s="521"/>
      <c r="N49" s="522"/>
      <c r="O49" s="16"/>
    </row>
    <row r="50" spans="1:15" ht="22.25" customHeight="1" x14ac:dyDescent="0.2">
      <c r="A50" s="14"/>
      <c r="B50" s="505"/>
      <c r="C50" s="506"/>
      <c r="D50" s="506"/>
      <c r="E50" s="506"/>
      <c r="F50" s="506"/>
      <c r="G50" s="506"/>
      <c r="H50" s="506"/>
      <c r="I50" s="507"/>
      <c r="J50" s="15"/>
      <c r="K50" s="517" t="s">
        <v>157</v>
      </c>
      <c r="L50" s="518"/>
      <c r="M50" s="521"/>
      <c r="N50" s="522"/>
      <c r="O50" s="16"/>
    </row>
    <row r="51" spans="1:15" ht="22.25" customHeight="1" x14ac:dyDescent="0.2">
      <c r="A51" s="14"/>
      <c r="B51" s="505"/>
      <c r="C51" s="506"/>
      <c r="D51" s="506"/>
      <c r="E51" s="506"/>
      <c r="F51" s="506"/>
      <c r="G51" s="506"/>
      <c r="H51" s="506"/>
      <c r="I51" s="507"/>
      <c r="J51" s="15"/>
      <c r="K51" s="517"/>
      <c r="L51" s="518"/>
      <c r="M51" s="521"/>
      <c r="N51" s="522"/>
      <c r="O51" s="16"/>
    </row>
    <row r="52" spans="1:15" ht="22.25" customHeight="1" x14ac:dyDescent="0.2">
      <c r="A52" s="14"/>
      <c r="B52" s="505"/>
      <c r="C52" s="506"/>
      <c r="D52" s="506"/>
      <c r="E52" s="506"/>
      <c r="F52" s="506"/>
      <c r="G52" s="506"/>
      <c r="H52" s="506"/>
      <c r="I52" s="507"/>
      <c r="J52" s="15"/>
      <c r="K52" s="523" t="s">
        <v>10</v>
      </c>
      <c r="L52" s="524"/>
      <c r="M52" s="525"/>
      <c r="N52" s="526"/>
      <c r="O52" s="16"/>
    </row>
    <row r="53" spans="1:15" ht="22.25" customHeight="1" thickBot="1" x14ac:dyDescent="0.25">
      <c r="A53" s="14"/>
      <c r="B53" s="508"/>
      <c r="C53" s="509"/>
      <c r="D53" s="509"/>
      <c r="E53" s="509"/>
      <c r="F53" s="509"/>
      <c r="G53" s="509"/>
      <c r="H53" s="509"/>
      <c r="I53" s="510"/>
      <c r="J53" s="15"/>
      <c r="K53" s="511" t="s">
        <v>259</v>
      </c>
      <c r="L53" s="512"/>
      <c r="M53" s="513"/>
      <c r="N53" s="51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497" t="s">
        <v>135</v>
      </c>
      <c r="C56" s="498"/>
      <c r="D56" s="24"/>
      <c r="E56" s="24"/>
      <c r="F56" s="24"/>
      <c r="G56" s="24"/>
      <c r="H56" s="24"/>
      <c r="I56" s="15"/>
      <c r="J56" s="15"/>
      <c r="K56" s="15"/>
      <c r="L56" s="24"/>
      <c r="M56" s="24"/>
      <c r="N56" s="24"/>
      <c r="O56" s="16"/>
    </row>
    <row r="57" spans="1:15" ht="36" customHeight="1" thickBot="1" x14ac:dyDescent="0.25">
      <c r="A57" s="14"/>
      <c r="B57" s="499" t="s">
        <v>156</v>
      </c>
      <c r="C57" s="500"/>
      <c r="D57" s="500"/>
      <c r="E57" s="500"/>
      <c r="F57" s="500"/>
      <c r="G57" s="500"/>
      <c r="H57" s="500"/>
      <c r="I57" s="501"/>
      <c r="J57" s="15"/>
      <c r="K57" s="15"/>
      <c r="L57" s="24"/>
      <c r="M57" s="24"/>
      <c r="N57" s="24"/>
      <c r="O57" s="16"/>
    </row>
    <row r="58" spans="1:15" ht="22.25" customHeight="1" x14ac:dyDescent="0.2">
      <c r="A58" s="14"/>
      <c r="B58" s="502"/>
      <c r="C58" s="503"/>
      <c r="D58" s="503"/>
      <c r="E58" s="503"/>
      <c r="F58" s="503"/>
      <c r="G58" s="503"/>
      <c r="H58" s="503"/>
      <c r="I58" s="504"/>
      <c r="J58" s="15"/>
      <c r="K58" s="515" t="s">
        <v>97</v>
      </c>
      <c r="L58" s="516"/>
      <c r="M58" s="519"/>
      <c r="N58" s="520"/>
      <c r="O58" s="16"/>
    </row>
    <row r="59" spans="1:15" ht="22.25" customHeight="1" x14ac:dyDescent="0.2">
      <c r="A59" s="14"/>
      <c r="B59" s="505"/>
      <c r="C59" s="506"/>
      <c r="D59" s="506"/>
      <c r="E59" s="506"/>
      <c r="F59" s="506"/>
      <c r="G59" s="506"/>
      <c r="H59" s="506"/>
      <c r="I59" s="507"/>
      <c r="J59" s="15"/>
      <c r="K59" s="517"/>
      <c r="L59" s="518"/>
      <c r="M59" s="521"/>
      <c r="N59" s="522"/>
      <c r="O59" s="16"/>
    </row>
    <row r="60" spans="1:15" ht="22.25" customHeight="1" x14ac:dyDescent="0.2">
      <c r="A60" s="14"/>
      <c r="B60" s="505"/>
      <c r="C60" s="506"/>
      <c r="D60" s="506"/>
      <c r="E60" s="506"/>
      <c r="F60" s="506"/>
      <c r="G60" s="506"/>
      <c r="H60" s="506"/>
      <c r="I60" s="507"/>
      <c r="J60" s="15"/>
      <c r="K60" s="517" t="s">
        <v>158</v>
      </c>
      <c r="L60" s="518"/>
      <c r="M60" s="521"/>
      <c r="N60" s="522"/>
      <c r="O60" s="16"/>
    </row>
    <row r="61" spans="1:15" ht="22.25" customHeight="1" x14ac:dyDescent="0.2">
      <c r="A61" s="14"/>
      <c r="B61" s="505"/>
      <c r="C61" s="506"/>
      <c r="D61" s="506"/>
      <c r="E61" s="506"/>
      <c r="F61" s="506"/>
      <c r="G61" s="506"/>
      <c r="H61" s="506"/>
      <c r="I61" s="507"/>
      <c r="J61" s="15"/>
      <c r="K61" s="517"/>
      <c r="L61" s="518"/>
      <c r="M61" s="521"/>
      <c r="N61" s="522"/>
      <c r="O61" s="16"/>
    </row>
    <row r="62" spans="1:15" ht="22.25" customHeight="1" thickBot="1" x14ac:dyDescent="0.25">
      <c r="A62" s="14"/>
      <c r="B62" s="508"/>
      <c r="C62" s="509"/>
      <c r="D62" s="509"/>
      <c r="E62" s="509"/>
      <c r="F62" s="509"/>
      <c r="G62" s="509"/>
      <c r="H62" s="509"/>
      <c r="I62" s="510"/>
      <c r="J62" s="15"/>
      <c r="K62" s="511" t="s">
        <v>10</v>
      </c>
      <c r="L62" s="512"/>
      <c r="M62" s="513"/>
      <c r="N62" s="51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1800-000000000000}"/>
    <dataValidation type="date" operator="greaterThan" allowBlank="1" showInputMessage="1" showErrorMessage="1" promptTitle="Date" prompt="Please enter the date in the format dd mmm yyy" sqref="M34:N34 M42:N43 M52:N53 M62:N62" xr:uid="{00000000-0002-0000-1800-000001000000}">
      <formula1>43607</formula1>
    </dataValidation>
    <dataValidation allowBlank="1" showInputMessage="1" showErrorMessage="1" promptTitle="Copy &amp; Paste from Word" prompt="To allow some splitting of text copy and paste paragraphs from Word._x000a_Double click to enable pasting." sqref="B58:I62 B48:I53 B38:I43 B30:I34" xr:uid="{00000000-0002-0000-18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CC2D1ECB-3D5C-40C2-96D6-A9126214C8FC}">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6FFCFBF0-F706-42E1-B9BE-CE66BA815417}">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825C7D48-4D94-4D04-B020-1944D194707B}">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E3B61897-213D-4352-B8DA-482DD7E00F08}">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B71760CC-8A75-4BAB-85ED-8740F51FEDF2}">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7A9013C9-C528-42B5-B722-E1719E77E89F}">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D146D7D3-B188-4A7E-9D8F-27C822084C6E}">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CAD7EB0D-6B62-4CB7-9A74-260E4AABAC85}">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72E61277-20A4-43DA-A7C5-A8281BEC6AAE}">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772642FB-D729-4B85-8711-329997105A1C}">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6A4D064D-C8CD-4B8D-A9B3-9F4F21B18C6B}">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94123734-E497-44E3-9C98-1E4FE5F415D7}">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7C8AF4A6-0583-47DE-9DE8-33E3D93B0144}">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29C058DF-B48C-4707-883F-426A8096C945}">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1194FD59-83E6-488F-8161-69885E140D8A}">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432E535F-97EB-45AF-8C19-6C1C12702E50}">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BB6B99A3-064C-4724-AB96-C3AD103CC9E5}">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FB3FA94C-0E8D-4C72-A44C-8277D14879E3}">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D660F85A-350B-45D1-BBEA-464242D15DB5}">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3D0222D9-A418-4B6C-81C3-2D075E86F6EA}">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Attendance" prompt="Attendance &amp; Engagement with the programme:_x000a_Excellent (90-100%)_x000a_Satisfactory (80-90%)_x000a_Concerning (&lt;80%)" xr:uid="{00000000-0002-0000-1800-000003000000}">
          <x14:formula1>
            <xm:f>'Drop Down Lists'!$A$38:$A$40</xm:f>
          </x14:formula1>
          <xm:sqref>G54 G44</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1800-000004000000}">
          <x14:formula1>
            <xm:f>'Drop Down Lists'!$A$22:$A$26</xm:f>
          </x14:formula1>
          <xm:sqref>L10:L26</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1800-000005000000}">
          <x14:formula1>
            <xm:f>'Drop Down Lists'!$A$22:$A$26</xm:f>
          </x14:formula1>
          <xm:sqref>M10:M26</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1800-000006000000}">
          <x14:formula1>
            <xm:f>'Drop Down Lists'!$A$2:$A$3</xm:f>
          </x14:formula1>
          <xm:sqref>C44 C54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1800-000007000000}">
          <x14:formula1>
            <xm:f>'Drop Down Lists'!$A$2:$A$3</xm:f>
          </x14:formula1>
          <xm:sqref>E44 E54</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1800-000008000000}">
          <x14:formula1>
            <xm:f>'Drop Down Lists'!$A$2:$A$3</xm:f>
          </x14:formula1>
          <xm:sqref>I44 I54</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1800-000009000000}">
          <x14:formula1>
            <xm:f>'Drop Down Lists'!$A$22:$A$26</xm:f>
          </x14:formula1>
          <xm:sqref>N10:N26</xm:sqref>
        </x14:dataValidation>
        <x14:dataValidation type="list" allowBlank="1" showInputMessage="1" showErrorMessage="1" promptTitle="Work Location(s)" prompt="Please select the MAIN work location(s) you have been based at during this period._x000a__x000a_N.B. Warwick University is JLR Research at Warwick" xr:uid="{00000000-0002-0000-1800-00000A000000}">
          <x14:formula1>
            <xm:f>'Drop Down Lists'!$G$2:$G$21</xm:f>
          </x14:formula1>
          <xm:sqref>K5:N6</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pageSetUpPr fitToPage="1"/>
  </sheetPr>
  <dimension ref="A1:AP168"/>
  <sheetViews>
    <sheetView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Y5 R4</v>
      </c>
      <c r="B1" s="19"/>
      <c r="C1" s="19"/>
      <c r="D1" s="19"/>
      <c r="E1" s="19"/>
      <c r="F1" s="19"/>
      <c r="G1" s="19"/>
      <c r="H1" s="19"/>
      <c r="I1" s="19"/>
      <c r="J1" s="19"/>
      <c r="K1" s="223"/>
      <c r="L1" s="529" t="s">
        <v>256</v>
      </c>
      <c r="M1" s="529"/>
      <c r="N1" s="318">
        <f ca="1">TODAY()</f>
        <v>43969</v>
      </c>
      <c r="O1" s="20"/>
    </row>
    <row r="2" spans="1:42" ht="35" x14ac:dyDescent="0.35">
      <c r="A2" s="14"/>
      <c r="B2" s="465" t="s">
        <v>329</v>
      </c>
      <c r="C2" s="465"/>
      <c r="D2" s="465"/>
      <c r="E2" s="465"/>
      <c r="F2" s="465"/>
      <c r="G2" s="465"/>
      <c r="H2" s="465"/>
      <c r="I2" s="465"/>
      <c r="J2" s="465"/>
      <c r="K2" s="465"/>
      <c r="L2" s="465"/>
      <c r="M2" s="465"/>
      <c r="N2" s="465"/>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36" t="s">
        <v>254</v>
      </c>
      <c r="L4" s="537"/>
      <c r="M4" s="537"/>
      <c r="N4" s="53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19" t="s">
        <v>211</v>
      </c>
      <c r="C5" s="421"/>
      <c r="D5" s="530" t="str">
        <f>'Front Sheet'!C5:C6</f>
        <v>Philip</v>
      </c>
      <c r="E5" s="532" t="str">
        <f>'Front Sheet'!D5:D6</f>
        <v>McGaw</v>
      </c>
      <c r="F5" s="534" t="str">
        <f>'Front Sheet'!G2</f>
        <v>pmcgaw</v>
      </c>
      <c r="G5" s="119">
        <f>'Front Sheet'!J5</f>
        <v>83137730</v>
      </c>
      <c r="H5" s="15"/>
      <c r="I5" s="25"/>
      <c r="J5" s="15"/>
      <c r="K5" s="539"/>
      <c r="L5" s="540"/>
      <c r="M5" s="540"/>
      <c r="N5" s="541"/>
      <c r="O5" s="16"/>
    </row>
    <row r="6" spans="1:42" ht="18" customHeight="1" thickBot="1" x14ac:dyDescent="0.25">
      <c r="A6" s="14"/>
      <c r="B6" s="422"/>
      <c r="C6" s="424"/>
      <c r="D6" s="531"/>
      <c r="E6" s="533"/>
      <c r="F6" s="535"/>
      <c r="G6" s="120">
        <f>'Front Sheet'!J6</f>
        <v>0</v>
      </c>
      <c r="H6" s="15"/>
      <c r="I6" s="25"/>
      <c r="J6" s="15"/>
      <c r="K6" s="542"/>
      <c r="L6" s="543"/>
      <c r="M6" s="543"/>
      <c r="N6" s="544"/>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499" t="s">
        <v>232</v>
      </c>
      <c r="C9" s="527"/>
      <c r="D9" s="527"/>
      <c r="E9" s="527"/>
      <c r="F9" s="527"/>
      <c r="G9" s="527"/>
      <c r="H9" s="527"/>
      <c r="I9" s="528"/>
      <c r="J9" s="15"/>
      <c r="K9" s="26" t="s">
        <v>136</v>
      </c>
      <c r="L9" s="89" t="s">
        <v>126</v>
      </c>
      <c r="M9" s="89" t="s">
        <v>128</v>
      </c>
      <c r="N9" s="96" t="s">
        <v>127</v>
      </c>
      <c r="O9" s="16"/>
      <c r="P9" s="165"/>
      <c r="Q9" s="165"/>
      <c r="R9" s="165"/>
      <c r="S9" s="165"/>
      <c r="T9" s="165"/>
    </row>
    <row r="10" spans="1:42" ht="22.25" customHeight="1" x14ac:dyDescent="0.2">
      <c r="A10" s="14"/>
      <c r="B10" s="502"/>
      <c r="C10" s="503"/>
      <c r="D10" s="503"/>
      <c r="E10" s="503"/>
      <c r="F10" s="503"/>
      <c r="G10" s="503"/>
      <c r="H10" s="503"/>
      <c r="I10" s="504"/>
      <c r="J10" s="15"/>
      <c r="K10" s="27" t="s">
        <v>109</v>
      </c>
      <c r="L10" s="170"/>
      <c r="M10" s="171"/>
      <c r="N10" s="172"/>
      <c r="O10" s="16"/>
    </row>
    <row r="11" spans="1:42" ht="22.25" customHeight="1" x14ac:dyDescent="0.2">
      <c r="A11" s="14"/>
      <c r="B11" s="505"/>
      <c r="C11" s="506"/>
      <c r="D11" s="506"/>
      <c r="E11" s="506"/>
      <c r="F11" s="506"/>
      <c r="G11" s="506"/>
      <c r="H11" s="506"/>
      <c r="I11" s="507"/>
      <c r="J11" s="15"/>
      <c r="K11" s="28" t="s">
        <v>110</v>
      </c>
      <c r="L11" s="173"/>
      <c r="M11" s="173"/>
      <c r="N11" s="174"/>
      <c r="O11" s="16"/>
    </row>
    <row r="12" spans="1:42" ht="22.25" customHeight="1" x14ac:dyDescent="0.2">
      <c r="A12" s="14"/>
      <c r="B12" s="505"/>
      <c r="C12" s="506"/>
      <c r="D12" s="506"/>
      <c r="E12" s="506"/>
      <c r="F12" s="506"/>
      <c r="G12" s="506"/>
      <c r="H12" s="506"/>
      <c r="I12" s="507"/>
      <c r="J12" s="15"/>
      <c r="K12" s="28" t="s">
        <v>111</v>
      </c>
      <c r="L12" s="173"/>
      <c r="M12" s="173"/>
      <c r="N12" s="174"/>
      <c r="O12" s="16"/>
    </row>
    <row r="13" spans="1:42" ht="22.25" customHeight="1" x14ac:dyDescent="0.2">
      <c r="A13" s="14"/>
      <c r="B13" s="505"/>
      <c r="C13" s="506"/>
      <c r="D13" s="506"/>
      <c r="E13" s="506"/>
      <c r="F13" s="506"/>
      <c r="G13" s="506"/>
      <c r="H13" s="506"/>
      <c r="I13" s="507"/>
      <c r="J13" s="15"/>
      <c r="K13" s="28" t="s">
        <v>112</v>
      </c>
      <c r="L13" s="173"/>
      <c r="M13" s="173"/>
      <c r="N13" s="174"/>
      <c r="O13" s="16"/>
    </row>
    <row r="14" spans="1:42" ht="22.25" customHeight="1" x14ac:dyDescent="0.2">
      <c r="A14" s="14"/>
      <c r="B14" s="505"/>
      <c r="C14" s="506"/>
      <c r="D14" s="506"/>
      <c r="E14" s="506"/>
      <c r="F14" s="506"/>
      <c r="G14" s="506"/>
      <c r="H14" s="506"/>
      <c r="I14" s="507"/>
      <c r="J14" s="15"/>
      <c r="K14" s="28" t="s">
        <v>113</v>
      </c>
      <c r="L14" s="173"/>
      <c r="M14" s="173"/>
      <c r="N14" s="174"/>
      <c r="O14" s="16"/>
    </row>
    <row r="15" spans="1:42" ht="22.25" customHeight="1" x14ac:dyDescent="0.2">
      <c r="A15" s="14"/>
      <c r="B15" s="505"/>
      <c r="C15" s="506"/>
      <c r="D15" s="506"/>
      <c r="E15" s="506"/>
      <c r="F15" s="506"/>
      <c r="G15" s="506"/>
      <c r="H15" s="506"/>
      <c r="I15" s="507"/>
      <c r="J15" s="15"/>
      <c r="K15" s="28" t="s">
        <v>114</v>
      </c>
      <c r="L15" s="173"/>
      <c r="M15" s="173"/>
      <c r="N15" s="174"/>
      <c r="O15" s="16"/>
    </row>
    <row r="16" spans="1:42" ht="22.25" customHeight="1" x14ac:dyDescent="0.2">
      <c r="A16" s="14"/>
      <c r="B16" s="505"/>
      <c r="C16" s="506"/>
      <c r="D16" s="506"/>
      <c r="E16" s="506"/>
      <c r="F16" s="506"/>
      <c r="G16" s="506"/>
      <c r="H16" s="506"/>
      <c r="I16" s="507"/>
      <c r="J16" s="15"/>
      <c r="K16" s="28" t="s">
        <v>115</v>
      </c>
      <c r="L16" s="173"/>
      <c r="M16" s="173"/>
      <c r="N16" s="174"/>
      <c r="O16" s="16"/>
    </row>
    <row r="17" spans="1:42" ht="22.25" customHeight="1" x14ac:dyDescent="0.2">
      <c r="A17" s="14"/>
      <c r="B17" s="505"/>
      <c r="C17" s="506"/>
      <c r="D17" s="506"/>
      <c r="E17" s="506"/>
      <c r="F17" s="506"/>
      <c r="G17" s="506"/>
      <c r="H17" s="506"/>
      <c r="I17" s="507"/>
      <c r="J17" s="15"/>
      <c r="K17" s="28" t="s">
        <v>116</v>
      </c>
      <c r="L17" s="173"/>
      <c r="M17" s="173"/>
      <c r="N17" s="174"/>
      <c r="O17" s="16"/>
    </row>
    <row r="18" spans="1:42" ht="22.25" customHeight="1" x14ac:dyDescent="0.2">
      <c r="A18" s="14"/>
      <c r="B18" s="505"/>
      <c r="C18" s="506"/>
      <c r="D18" s="506"/>
      <c r="E18" s="506"/>
      <c r="F18" s="506"/>
      <c r="G18" s="506"/>
      <c r="H18" s="506"/>
      <c r="I18" s="507"/>
      <c r="J18" s="15"/>
      <c r="K18" s="28" t="s">
        <v>117</v>
      </c>
      <c r="L18" s="173"/>
      <c r="M18" s="173"/>
      <c r="N18" s="174"/>
      <c r="O18" s="16"/>
    </row>
    <row r="19" spans="1:42" ht="22.25" customHeight="1" x14ac:dyDescent="0.2">
      <c r="A19" s="14"/>
      <c r="B19" s="505"/>
      <c r="C19" s="506"/>
      <c r="D19" s="506"/>
      <c r="E19" s="506"/>
      <c r="F19" s="506"/>
      <c r="G19" s="506"/>
      <c r="H19" s="506"/>
      <c r="I19" s="507"/>
      <c r="J19" s="15"/>
      <c r="K19" s="28" t="s">
        <v>118</v>
      </c>
      <c r="L19" s="173"/>
      <c r="M19" s="173"/>
      <c r="N19" s="174"/>
      <c r="O19" s="16"/>
    </row>
    <row r="20" spans="1:42" ht="22.25" customHeight="1" x14ac:dyDescent="0.2">
      <c r="A20" s="14"/>
      <c r="B20" s="505"/>
      <c r="C20" s="506"/>
      <c r="D20" s="506"/>
      <c r="E20" s="506"/>
      <c r="F20" s="506"/>
      <c r="G20" s="506"/>
      <c r="H20" s="506"/>
      <c r="I20" s="507"/>
      <c r="J20" s="15"/>
      <c r="K20" s="28" t="s">
        <v>119</v>
      </c>
      <c r="L20" s="173"/>
      <c r="M20" s="173"/>
      <c r="N20" s="174"/>
      <c r="O20" s="16"/>
    </row>
    <row r="21" spans="1:42" ht="22.25" customHeight="1" x14ac:dyDescent="0.2">
      <c r="A21" s="14"/>
      <c r="B21" s="505"/>
      <c r="C21" s="506"/>
      <c r="D21" s="506"/>
      <c r="E21" s="506"/>
      <c r="F21" s="506"/>
      <c r="G21" s="506"/>
      <c r="H21" s="506"/>
      <c r="I21" s="507"/>
      <c r="J21" s="15"/>
      <c r="K21" s="28" t="s">
        <v>120</v>
      </c>
      <c r="L21" s="173"/>
      <c r="M21" s="173"/>
      <c r="N21" s="174"/>
      <c r="O21" s="16"/>
    </row>
    <row r="22" spans="1:42" ht="22.25" customHeight="1" x14ac:dyDescent="0.2">
      <c r="A22" s="14"/>
      <c r="B22" s="505"/>
      <c r="C22" s="506"/>
      <c r="D22" s="506"/>
      <c r="E22" s="506"/>
      <c r="F22" s="506"/>
      <c r="G22" s="506"/>
      <c r="H22" s="506"/>
      <c r="I22" s="507"/>
      <c r="J22" s="15"/>
      <c r="K22" s="28" t="s">
        <v>121</v>
      </c>
      <c r="L22" s="173"/>
      <c r="M22" s="173"/>
      <c r="N22" s="174"/>
      <c r="O22" s="16"/>
    </row>
    <row r="23" spans="1:42" ht="22.25" customHeight="1" x14ac:dyDescent="0.2">
      <c r="A23" s="14"/>
      <c r="B23" s="505"/>
      <c r="C23" s="506"/>
      <c r="D23" s="506"/>
      <c r="E23" s="506"/>
      <c r="F23" s="506"/>
      <c r="G23" s="506"/>
      <c r="H23" s="506"/>
      <c r="I23" s="507"/>
      <c r="J23" s="15"/>
      <c r="K23" s="28" t="s">
        <v>122</v>
      </c>
      <c r="L23" s="173"/>
      <c r="M23" s="173"/>
      <c r="N23" s="174"/>
      <c r="O23" s="16"/>
    </row>
    <row r="24" spans="1:42" ht="22.25" customHeight="1" x14ac:dyDescent="0.2">
      <c r="A24" s="14"/>
      <c r="B24" s="505"/>
      <c r="C24" s="506"/>
      <c r="D24" s="506"/>
      <c r="E24" s="506"/>
      <c r="F24" s="506"/>
      <c r="G24" s="506"/>
      <c r="H24" s="506"/>
      <c r="I24" s="507"/>
      <c r="J24" s="15"/>
      <c r="K24" s="28" t="s">
        <v>123</v>
      </c>
      <c r="L24" s="173"/>
      <c r="M24" s="173"/>
      <c r="N24" s="174"/>
      <c r="O24" s="16"/>
    </row>
    <row r="25" spans="1:42" ht="22.25" customHeight="1" x14ac:dyDescent="0.2">
      <c r="A25" s="14"/>
      <c r="B25" s="505"/>
      <c r="C25" s="506"/>
      <c r="D25" s="506"/>
      <c r="E25" s="506"/>
      <c r="F25" s="506"/>
      <c r="G25" s="506"/>
      <c r="H25" s="506"/>
      <c r="I25" s="507"/>
      <c r="J25" s="15"/>
      <c r="K25" s="28" t="s">
        <v>124</v>
      </c>
      <c r="L25" s="173"/>
      <c r="M25" s="173"/>
      <c r="N25" s="174"/>
      <c r="O25" s="16"/>
    </row>
    <row r="26" spans="1:42" ht="22.25" customHeight="1" thickBot="1" x14ac:dyDescent="0.25">
      <c r="A26" s="14"/>
      <c r="B26" s="508"/>
      <c r="C26" s="509"/>
      <c r="D26" s="509"/>
      <c r="E26" s="509"/>
      <c r="F26" s="509"/>
      <c r="G26" s="509"/>
      <c r="H26" s="509"/>
      <c r="I26" s="510"/>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497" t="s">
        <v>134</v>
      </c>
      <c r="C28" s="498"/>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499" t="s">
        <v>137</v>
      </c>
      <c r="C29" s="500"/>
      <c r="D29" s="500"/>
      <c r="E29" s="500"/>
      <c r="F29" s="500"/>
      <c r="G29" s="500"/>
      <c r="H29" s="500"/>
      <c r="I29" s="501"/>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02"/>
      <c r="C30" s="503"/>
      <c r="D30" s="503"/>
      <c r="E30" s="503"/>
      <c r="F30" s="503"/>
      <c r="G30" s="503"/>
      <c r="H30" s="503"/>
      <c r="I30" s="504"/>
      <c r="J30" s="15"/>
      <c r="K30" s="515" t="s">
        <v>97</v>
      </c>
      <c r="L30" s="516"/>
      <c r="M30" s="519"/>
      <c r="N30" s="520"/>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05"/>
      <c r="C31" s="506"/>
      <c r="D31" s="506"/>
      <c r="E31" s="506"/>
      <c r="F31" s="506"/>
      <c r="G31" s="506"/>
      <c r="H31" s="506"/>
      <c r="I31" s="507"/>
      <c r="J31" s="15"/>
      <c r="K31" s="517"/>
      <c r="L31" s="518"/>
      <c r="M31" s="521"/>
      <c r="N31" s="522"/>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05"/>
      <c r="C32" s="506"/>
      <c r="D32" s="506"/>
      <c r="E32" s="506"/>
      <c r="F32" s="506"/>
      <c r="G32" s="506"/>
      <c r="H32" s="506"/>
      <c r="I32" s="507"/>
      <c r="J32" s="15"/>
      <c r="K32" s="517" t="s">
        <v>98</v>
      </c>
      <c r="L32" s="518"/>
      <c r="M32" s="521"/>
      <c r="N32" s="522"/>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05"/>
      <c r="C33" s="506"/>
      <c r="D33" s="506"/>
      <c r="E33" s="506"/>
      <c r="F33" s="506"/>
      <c r="G33" s="506"/>
      <c r="H33" s="506"/>
      <c r="I33" s="507"/>
      <c r="J33" s="15"/>
      <c r="K33" s="517"/>
      <c r="L33" s="518"/>
      <c r="M33" s="521"/>
      <c r="N33" s="522"/>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08"/>
      <c r="C34" s="509"/>
      <c r="D34" s="509"/>
      <c r="E34" s="509"/>
      <c r="F34" s="509"/>
      <c r="G34" s="509"/>
      <c r="H34" s="509"/>
      <c r="I34" s="510"/>
      <c r="J34" s="15"/>
      <c r="K34" s="511" t="s">
        <v>10</v>
      </c>
      <c r="L34" s="512"/>
      <c r="M34" s="513"/>
      <c r="N34" s="51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497" t="s">
        <v>223</v>
      </c>
      <c r="C36" s="498"/>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499" t="s">
        <v>231</v>
      </c>
      <c r="C37" s="500"/>
      <c r="D37" s="500"/>
      <c r="E37" s="500"/>
      <c r="F37" s="500"/>
      <c r="G37" s="500"/>
      <c r="H37" s="500"/>
      <c r="I37" s="501"/>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02"/>
      <c r="C38" s="503"/>
      <c r="D38" s="503"/>
      <c r="E38" s="503"/>
      <c r="F38" s="503"/>
      <c r="G38" s="503"/>
      <c r="H38" s="503"/>
      <c r="I38" s="504"/>
      <c r="J38" s="15"/>
      <c r="K38" s="515" t="s">
        <v>97</v>
      </c>
      <c r="L38" s="516"/>
      <c r="M38" s="519"/>
      <c r="N38" s="520"/>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05"/>
      <c r="C39" s="506"/>
      <c r="D39" s="506"/>
      <c r="E39" s="506"/>
      <c r="F39" s="506"/>
      <c r="G39" s="506"/>
      <c r="H39" s="506"/>
      <c r="I39" s="507"/>
      <c r="J39" s="15"/>
      <c r="K39" s="517"/>
      <c r="L39" s="518"/>
      <c r="M39" s="521"/>
      <c r="N39" s="522"/>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05"/>
      <c r="C40" s="506"/>
      <c r="D40" s="506"/>
      <c r="E40" s="506"/>
      <c r="F40" s="506"/>
      <c r="G40" s="506"/>
      <c r="H40" s="506"/>
      <c r="I40" s="507"/>
      <c r="J40" s="15"/>
      <c r="K40" s="517" t="s">
        <v>157</v>
      </c>
      <c r="L40" s="518"/>
      <c r="M40" s="521"/>
      <c r="N40" s="522"/>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05"/>
      <c r="C41" s="506"/>
      <c r="D41" s="506"/>
      <c r="E41" s="506"/>
      <c r="F41" s="506"/>
      <c r="G41" s="506"/>
      <c r="H41" s="506"/>
      <c r="I41" s="507"/>
      <c r="J41" s="15"/>
      <c r="K41" s="517"/>
      <c r="L41" s="518"/>
      <c r="M41" s="521"/>
      <c r="N41" s="522"/>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05"/>
      <c r="C42" s="506"/>
      <c r="D42" s="506"/>
      <c r="E42" s="506"/>
      <c r="F42" s="506"/>
      <c r="G42" s="506"/>
      <c r="H42" s="506"/>
      <c r="I42" s="507"/>
      <c r="J42" s="15"/>
      <c r="K42" s="523" t="s">
        <v>10</v>
      </c>
      <c r="L42" s="524"/>
      <c r="M42" s="525"/>
      <c r="N42" s="526"/>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05"/>
      <c r="C43" s="506"/>
      <c r="D43" s="509"/>
      <c r="E43" s="509"/>
      <c r="F43" s="509"/>
      <c r="G43" s="509"/>
      <c r="H43" s="509"/>
      <c r="I43" s="510"/>
      <c r="J43" s="15"/>
      <c r="K43" s="511" t="s">
        <v>260</v>
      </c>
      <c r="L43" s="512"/>
      <c r="M43" s="513"/>
      <c r="N43" s="51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497" t="s">
        <v>223</v>
      </c>
      <c r="C46" s="498"/>
      <c r="D46" s="24"/>
      <c r="E46" s="24"/>
      <c r="F46" s="24"/>
      <c r="G46" s="24"/>
      <c r="H46" s="24"/>
      <c r="I46" s="15"/>
      <c r="J46" s="15"/>
      <c r="K46" s="15"/>
      <c r="L46" s="24"/>
      <c r="M46" s="24"/>
      <c r="N46" s="24"/>
      <c r="O46" s="16"/>
    </row>
    <row r="47" spans="1:42" ht="51" customHeight="1" thickBot="1" x14ac:dyDescent="0.25">
      <c r="A47" s="14"/>
      <c r="B47" s="499" t="s">
        <v>230</v>
      </c>
      <c r="C47" s="500"/>
      <c r="D47" s="500"/>
      <c r="E47" s="500"/>
      <c r="F47" s="500"/>
      <c r="G47" s="500"/>
      <c r="H47" s="500"/>
      <c r="I47" s="501"/>
      <c r="J47" s="15"/>
      <c r="K47" s="15"/>
      <c r="L47" s="24"/>
      <c r="M47" s="24"/>
      <c r="N47" s="24"/>
      <c r="O47" s="16"/>
    </row>
    <row r="48" spans="1:42" ht="22.25" customHeight="1" x14ac:dyDescent="0.2">
      <c r="A48" s="14"/>
      <c r="B48" s="502"/>
      <c r="C48" s="503"/>
      <c r="D48" s="503"/>
      <c r="E48" s="503"/>
      <c r="F48" s="503"/>
      <c r="G48" s="503"/>
      <c r="H48" s="503"/>
      <c r="I48" s="504"/>
      <c r="J48" s="15"/>
      <c r="K48" s="515" t="s">
        <v>97</v>
      </c>
      <c r="L48" s="516"/>
      <c r="M48" s="519"/>
      <c r="N48" s="520"/>
      <c r="O48" s="16"/>
    </row>
    <row r="49" spans="1:15" ht="22.25" customHeight="1" x14ac:dyDescent="0.2">
      <c r="A49" s="14"/>
      <c r="B49" s="505"/>
      <c r="C49" s="506"/>
      <c r="D49" s="506"/>
      <c r="E49" s="506"/>
      <c r="F49" s="506"/>
      <c r="G49" s="506"/>
      <c r="H49" s="506"/>
      <c r="I49" s="507"/>
      <c r="J49" s="15"/>
      <c r="K49" s="517"/>
      <c r="L49" s="518"/>
      <c r="M49" s="521"/>
      <c r="N49" s="522"/>
      <c r="O49" s="16"/>
    </row>
    <row r="50" spans="1:15" ht="22.25" customHeight="1" x14ac:dyDescent="0.2">
      <c r="A50" s="14"/>
      <c r="B50" s="505"/>
      <c r="C50" s="506"/>
      <c r="D50" s="506"/>
      <c r="E50" s="506"/>
      <c r="F50" s="506"/>
      <c r="G50" s="506"/>
      <c r="H50" s="506"/>
      <c r="I50" s="507"/>
      <c r="J50" s="15"/>
      <c r="K50" s="517" t="s">
        <v>157</v>
      </c>
      <c r="L50" s="518"/>
      <c r="M50" s="521"/>
      <c r="N50" s="522"/>
      <c r="O50" s="16"/>
    </row>
    <row r="51" spans="1:15" ht="22.25" customHeight="1" x14ac:dyDescent="0.2">
      <c r="A51" s="14"/>
      <c r="B51" s="505"/>
      <c r="C51" s="506"/>
      <c r="D51" s="506"/>
      <c r="E51" s="506"/>
      <c r="F51" s="506"/>
      <c r="G51" s="506"/>
      <c r="H51" s="506"/>
      <c r="I51" s="507"/>
      <c r="J51" s="15"/>
      <c r="K51" s="517"/>
      <c r="L51" s="518"/>
      <c r="M51" s="521"/>
      <c r="N51" s="522"/>
      <c r="O51" s="16"/>
    </row>
    <row r="52" spans="1:15" ht="22.25" customHeight="1" x14ac:dyDescent="0.2">
      <c r="A52" s="14"/>
      <c r="B52" s="505"/>
      <c r="C52" s="506"/>
      <c r="D52" s="506"/>
      <c r="E52" s="506"/>
      <c r="F52" s="506"/>
      <c r="G52" s="506"/>
      <c r="H52" s="506"/>
      <c r="I52" s="507"/>
      <c r="J52" s="15"/>
      <c r="K52" s="523" t="s">
        <v>10</v>
      </c>
      <c r="L52" s="524"/>
      <c r="M52" s="525"/>
      <c r="N52" s="526"/>
      <c r="O52" s="16"/>
    </row>
    <row r="53" spans="1:15" ht="22.25" customHeight="1" thickBot="1" x14ac:dyDescent="0.25">
      <c r="A53" s="14"/>
      <c r="B53" s="508"/>
      <c r="C53" s="509"/>
      <c r="D53" s="509"/>
      <c r="E53" s="509"/>
      <c r="F53" s="509"/>
      <c r="G53" s="509"/>
      <c r="H53" s="509"/>
      <c r="I53" s="510"/>
      <c r="J53" s="15"/>
      <c r="K53" s="511" t="s">
        <v>259</v>
      </c>
      <c r="L53" s="512"/>
      <c r="M53" s="513"/>
      <c r="N53" s="51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497" t="s">
        <v>135</v>
      </c>
      <c r="C56" s="498"/>
      <c r="D56" s="24"/>
      <c r="E56" s="24"/>
      <c r="F56" s="24"/>
      <c r="G56" s="24"/>
      <c r="H56" s="24"/>
      <c r="I56" s="15"/>
      <c r="J56" s="15"/>
      <c r="K56" s="15"/>
      <c r="L56" s="24"/>
      <c r="M56" s="24"/>
      <c r="N56" s="24"/>
      <c r="O56" s="16"/>
    </row>
    <row r="57" spans="1:15" ht="36" customHeight="1" thickBot="1" x14ac:dyDescent="0.25">
      <c r="A57" s="14"/>
      <c r="B57" s="499" t="s">
        <v>156</v>
      </c>
      <c r="C57" s="500"/>
      <c r="D57" s="500"/>
      <c r="E57" s="500"/>
      <c r="F57" s="500"/>
      <c r="G57" s="500"/>
      <c r="H57" s="500"/>
      <c r="I57" s="501"/>
      <c r="J57" s="15"/>
      <c r="K57" s="15"/>
      <c r="L57" s="24"/>
      <c r="M57" s="24"/>
      <c r="N57" s="24"/>
      <c r="O57" s="16"/>
    </row>
    <row r="58" spans="1:15" ht="22.25" customHeight="1" x14ac:dyDescent="0.2">
      <c r="A58" s="14"/>
      <c r="B58" s="502"/>
      <c r="C58" s="503"/>
      <c r="D58" s="503"/>
      <c r="E58" s="503"/>
      <c r="F58" s="503"/>
      <c r="G58" s="503"/>
      <c r="H58" s="503"/>
      <c r="I58" s="504"/>
      <c r="J58" s="15"/>
      <c r="K58" s="515" t="s">
        <v>97</v>
      </c>
      <c r="L58" s="516"/>
      <c r="M58" s="519"/>
      <c r="N58" s="520"/>
      <c r="O58" s="16"/>
    </row>
    <row r="59" spans="1:15" ht="22.25" customHeight="1" x14ac:dyDescent="0.2">
      <c r="A59" s="14"/>
      <c r="B59" s="505"/>
      <c r="C59" s="506"/>
      <c r="D59" s="506"/>
      <c r="E59" s="506"/>
      <c r="F59" s="506"/>
      <c r="G59" s="506"/>
      <c r="H59" s="506"/>
      <c r="I59" s="507"/>
      <c r="J59" s="15"/>
      <c r="K59" s="517"/>
      <c r="L59" s="518"/>
      <c r="M59" s="521"/>
      <c r="N59" s="522"/>
      <c r="O59" s="16"/>
    </row>
    <row r="60" spans="1:15" ht="22.25" customHeight="1" x14ac:dyDescent="0.2">
      <c r="A60" s="14"/>
      <c r="B60" s="505"/>
      <c r="C60" s="506"/>
      <c r="D60" s="506"/>
      <c r="E60" s="506"/>
      <c r="F60" s="506"/>
      <c r="G60" s="506"/>
      <c r="H60" s="506"/>
      <c r="I60" s="507"/>
      <c r="J60" s="15"/>
      <c r="K60" s="517" t="s">
        <v>158</v>
      </c>
      <c r="L60" s="518"/>
      <c r="M60" s="521"/>
      <c r="N60" s="522"/>
      <c r="O60" s="16"/>
    </row>
    <row r="61" spans="1:15" ht="22.25" customHeight="1" x14ac:dyDescent="0.2">
      <c r="A61" s="14"/>
      <c r="B61" s="505"/>
      <c r="C61" s="506"/>
      <c r="D61" s="506"/>
      <c r="E61" s="506"/>
      <c r="F61" s="506"/>
      <c r="G61" s="506"/>
      <c r="H61" s="506"/>
      <c r="I61" s="507"/>
      <c r="J61" s="15"/>
      <c r="K61" s="517"/>
      <c r="L61" s="518"/>
      <c r="M61" s="521"/>
      <c r="N61" s="522"/>
      <c r="O61" s="16"/>
    </row>
    <row r="62" spans="1:15" ht="22.25" customHeight="1" thickBot="1" x14ac:dyDescent="0.25">
      <c r="A62" s="14"/>
      <c r="B62" s="508"/>
      <c r="C62" s="509"/>
      <c r="D62" s="509"/>
      <c r="E62" s="509"/>
      <c r="F62" s="509"/>
      <c r="G62" s="509"/>
      <c r="H62" s="509"/>
      <c r="I62" s="510"/>
      <c r="J62" s="15"/>
      <c r="K62" s="511" t="s">
        <v>10</v>
      </c>
      <c r="L62" s="512"/>
      <c r="M62" s="513"/>
      <c r="N62" s="51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from Word" prompt="To allow some splitting of text copy and paste paragraphs from Word._x000a_Double click to enable pasting." sqref="B58:I62 B48:I53 B38:I43 B30:I34" xr:uid="{00000000-0002-0000-1900-000000000000}"/>
    <dataValidation type="date" operator="greaterThan" allowBlank="1" showInputMessage="1" showErrorMessage="1" promptTitle="Date" prompt="Please enter the date in the format dd mmm yyy" sqref="M34:N34 M42:N43 M52:N53 M62:N62" xr:uid="{00000000-0002-0000-1900-000001000000}">
      <formula1>43607</formula1>
    </dataValidation>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19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7CECE267-7489-4B65-824E-25DD4C06B0DE}">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58D107CF-7DC4-46D6-B80A-50292F529069}">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61D5D714-F2BF-406D-ADE5-75C21E2008B4}">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DB04A4BF-BED6-47B6-A53F-2A4CC5FFA27D}">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9FC3A966-9099-4D65-A65E-29EF10455151}">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151A4969-A055-4643-B889-03A6E3ABE15C}">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5AE88D8E-EDBE-49F3-9C04-EF7D231C87A9}">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29D99E8B-D7F9-497E-B0F3-648A37878F3B}">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DED7392A-3635-438F-AFDF-CA61CE2FD00C}">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4CDDD37B-9219-40B3-B7B1-618AE09A7EE5}">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6D867DF3-B0A1-4FB0-9E0A-C4FC3DA48C2C}">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6DEC7836-C7F4-439E-9068-E61AAB8445CA}">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5E90FCDD-F83E-449F-B7F3-0B7F6EEC851F}">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98E6A746-C923-404E-8D25-4DEE43511CC5}">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66744568-8E85-4C0D-A2FC-098C27B8972D}">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75801D2A-F817-4F6B-AAC6-6A4B222DA34E}">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91CA6AE9-E88C-4737-8B8C-1D9900F8986E}">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07B24A4F-D580-4688-9FD5-D7D1EDB53249}">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5EE59525-5255-4952-A360-DEF86247FB23}">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BD78C34D-146C-4E43-B262-B840C7873436}">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Work Location(s)" prompt="Please select the MAIN work location(s) you have been based at during this period._x000a__x000a_N.B. Warwick University is JLR Research at Warwick" xr:uid="{00000000-0002-0000-1900-000003000000}">
          <x14:formula1>
            <xm:f>'Drop Down Lists'!$G$2:$G$21</xm:f>
          </x14:formula1>
          <xm:sqref>K5:N6</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1900-000004000000}">
          <x14:formula1>
            <xm:f>'Drop Down Lists'!$A$22:$A$26</xm:f>
          </x14:formula1>
          <xm:sqref>N10:N26</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1900-000005000000}">
          <x14:formula1>
            <xm:f>'Drop Down Lists'!$A$2:$A$3</xm:f>
          </x14:formula1>
          <xm:sqref>I44 I54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1900-000006000000}">
          <x14:formula1>
            <xm:f>'Drop Down Lists'!$A$2:$A$3</xm:f>
          </x14:formula1>
          <xm:sqref>E44 E54</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1900-000007000000}">
          <x14:formula1>
            <xm:f>'Drop Down Lists'!$A$2:$A$3</xm:f>
          </x14:formula1>
          <xm:sqref>C44 C54</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1900-000008000000}">
          <x14:formula1>
            <xm:f>'Drop Down Lists'!$A$22:$A$26</xm:f>
          </x14:formula1>
          <xm:sqref>M10:M26</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1900-000009000000}">
          <x14:formula1>
            <xm:f>'Drop Down Lists'!$A$22:$A$26</xm:f>
          </x14:formula1>
          <xm:sqref>L10:L26</xm:sqref>
        </x14:dataValidation>
        <x14:dataValidation type="list" allowBlank="1" showInputMessage="1" showErrorMessage="1" promptTitle="Attendance" prompt="Attendance &amp; Engagement with the programme:_x000a_Excellent (90-100%)_x000a_Satisfactory (80-90%)_x000a_Concerning (&lt;80%)" xr:uid="{00000000-0002-0000-1900-00000A000000}">
          <x14:formula1>
            <xm:f>'Drop Down Lists'!$A$38:$A$40</xm:f>
          </x14:formula1>
          <xm:sqref>G54 G44</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pageSetUpPr fitToPage="1"/>
  </sheetPr>
  <dimension ref="A1:AP168"/>
  <sheetViews>
    <sheetView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Y6 R1</v>
      </c>
      <c r="B1" s="19"/>
      <c r="C1" s="19"/>
      <c r="D1" s="19"/>
      <c r="E1" s="19"/>
      <c r="F1" s="19"/>
      <c r="G1" s="19"/>
      <c r="H1" s="19"/>
      <c r="I1" s="19"/>
      <c r="J1" s="19"/>
      <c r="K1" s="223"/>
      <c r="L1" s="529" t="s">
        <v>256</v>
      </c>
      <c r="M1" s="529"/>
      <c r="N1" s="318">
        <f ca="1">TODAY()</f>
        <v>43969</v>
      </c>
      <c r="O1" s="20"/>
    </row>
    <row r="2" spans="1:42" ht="35" x14ac:dyDescent="0.35">
      <c r="A2" s="14"/>
      <c r="B2" s="465" t="s">
        <v>330</v>
      </c>
      <c r="C2" s="465"/>
      <c r="D2" s="465"/>
      <c r="E2" s="465"/>
      <c r="F2" s="465"/>
      <c r="G2" s="465"/>
      <c r="H2" s="465"/>
      <c r="I2" s="465"/>
      <c r="J2" s="465"/>
      <c r="K2" s="465"/>
      <c r="L2" s="465"/>
      <c r="M2" s="465"/>
      <c r="N2" s="465"/>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36" t="s">
        <v>254</v>
      </c>
      <c r="L4" s="537"/>
      <c r="M4" s="537"/>
      <c r="N4" s="53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19" t="s">
        <v>211</v>
      </c>
      <c r="C5" s="421"/>
      <c r="D5" s="530" t="str">
        <f>'Front Sheet'!C5:C6</f>
        <v>Philip</v>
      </c>
      <c r="E5" s="532" t="str">
        <f>'Front Sheet'!D5:D6</f>
        <v>McGaw</v>
      </c>
      <c r="F5" s="534" t="str">
        <f>'Front Sheet'!G2</f>
        <v>pmcgaw</v>
      </c>
      <c r="G5" s="119">
        <f>'Front Sheet'!J5</f>
        <v>83137730</v>
      </c>
      <c r="H5" s="15"/>
      <c r="I5" s="25"/>
      <c r="J5" s="15"/>
      <c r="K5" s="539"/>
      <c r="L5" s="540"/>
      <c r="M5" s="540"/>
      <c r="N5" s="541"/>
      <c r="O5" s="16"/>
    </row>
    <row r="6" spans="1:42" ht="18" customHeight="1" thickBot="1" x14ac:dyDescent="0.25">
      <c r="A6" s="14"/>
      <c r="B6" s="422"/>
      <c r="C6" s="424"/>
      <c r="D6" s="531"/>
      <c r="E6" s="533"/>
      <c r="F6" s="535"/>
      <c r="G6" s="120">
        <f>'Front Sheet'!J6</f>
        <v>0</v>
      </c>
      <c r="H6" s="15"/>
      <c r="I6" s="25"/>
      <c r="J6" s="15"/>
      <c r="K6" s="542"/>
      <c r="L6" s="543"/>
      <c r="M6" s="543"/>
      <c r="N6" s="544"/>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499" t="s">
        <v>232</v>
      </c>
      <c r="C9" s="527"/>
      <c r="D9" s="527"/>
      <c r="E9" s="527"/>
      <c r="F9" s="527"/>
      <c r="G9" s="527"/>
      <c r="H9" s="527"/>
      <c r="I9" s="528"/>
      <c r="J9" s="15"/>
      <c r="K9" s="26" t="s">
        <v>136</v>
      </c>
      <c r="L9" s="89" t="s">
        <v>126</v>
      </c>
      <c r="M9" s="89" t="s">
        <v>128</v>
      </c>
      <c r="N9" s="96" t="s">
        <v>127</v>
      </c>
      <c r="O9" s="16"/>
      <c r="P9" s="165"/>
      <c r="Q9" s="165"/>
      <c r="R9" s="165"/>
      <c r="S9" s="165"/>
      <c r="T9" s="165"/>
    </row>
    <row r="10" spans="1:42" ht="22.25" customHeight="1" x14ac:dyDescent="0.2">
      <c r="A10" s="14"/>
      <c r="B10" s="502"/>
      <c r="C10" s="503"/>
      <c r="D10" s="503"/>
      <c r="E10" s="503"/>
      <c r="F10" s="503"/>
      <c r="G10" s="503"/>
      <c r="H10" s="503"/>
      <c r="I10" s="504"/>
      <c r="J10" s="15"/>
      <c r="K10" s="27" t="s">
        <v>109</v>
      </c>
      <c r="L10" s="170"/>
      <c r="M10" s="171"/>
      <c r="N10" s="172"/>
      <c r="O10" s="16"/>
    </row>
    <row r="11" spans="1:42" ht="22.25" customHeight="1" x14ac:dyDescent="0.2">
      <c r="A11" s="14"/>
      <c r="B11" s="505"/>
      <c r="C11" s="506"/>
      <c r="D11" s="506"/>
      <c r="E11" s="506"/>
      <c r="F11" s="506"/>
      <c r="G11" s="506"/>
      <c r="H11" s="506"/>
      <c r="I11" s="507"/>
      <c r="J11" s="15"/>
      <c r="K11" s="28" t="s">
        <v>110</v>
      </c>
      <c r="L11" s="173"/>
      <c r="M11" s="173"/>
      <c r="N11" s="174"/>
      <c r="O11" s="16"/>
    </row>
    <row r="12" spans="1:42" ht="22.25" customHeight="1" x14ac:dyDescent="0.2">
      <c r="A12" s="14"/>
      <c r="B12" s="505"/>
      <c r="C12" s="506"/>
      <c r="D12" s="506"/>
      <c r="E12" s="506"/>
      <c r="F12" s="506"/>
      <c r="G12" s="506"/>
      <c r="H12" s="506"/>
      <c r="I12" s="507"/>
      <c r="J12" s="15"/>
      <c r="K12" s="28" t="s">
        <v>111</v>
      </c>
      <c r="L12" s="173"/>
      <c r="M12" s="173"/>
      <c r="N12" s="174"/>
      <c r="O12" s="16"/>
    </row>
    <row r="13" spans="1:42" ht="22.25" customHeight="1" x14ac:dyDescent="0.2">
      <c r="A13" s="14"/>
      <c r="B13" s="505"/>
      <c r="C13" s="506"/>
      <c r="D13" s="506"/>
      <c r="E13" s="506"/>
      <c r="F13" s="506"/>
      <c r="G13" s="506"/>
      <c r="H13" s="506"/>
      <c r="I13" s="507"/>
      <c r="J13" s="15"/>
      <c r="K13" s="28" t="s">
        <v>112</v>
      </c>
      <c r="L13" s="173"/>
      <c r="M13" s="173"/>
      <c r="N13" s="174"/>
      <c r="O13" s="16"/>
    </row>
    <row r="14" spans="1:42" ht="22.25" customHeight="1" x14ac:dyDescent="0.2">
      <c r="A14" s="14"/>
      <c r="B14" s="505"/>
      <c r="C14" s="506"/>
      <c r="D14" s="506"/>
      <c r="E14" s="506"/>
      <c r="F14" s="506"/>
      <c r="G14" s="506"/>
      <c r="H14" s="506"/>
      <c r="I14" s="507"/>
      <c r="J14" s="15"/>
      <c r="K14" s="28" t="s">
        <v>113</v>
      </c>
      <c r="L14" s="173"/>
      <c r="M14" s="173"/>
      <c r="N14" s="174"/>
      <c r="O14" s="16"/>
    </row>
    <row r="15" spans="1:42" ht="22.25" customHeight="1" x14ac:dyDescent="0.2">
      <c r="A15" s="14"/>
      <c r="B15" s="505"/>
      <c r="C15" s="506"/>
      <c r="D15" s="506"/>
      <c r="E15" s="506"/>
      <c r="F15" s="506"/>
      <c r="G15" s="506"/>
      <c r="H15" s="506"/>
      <c r="I15" s="507"/>
      <c r="J15" s="15"/>
      <c r="K15" s="28" t="s">
        <v>114</v>
      </c>
      <c r="L15" s="173"/>
      <c r="M15" s="173"/>
      <c r="N15" s="174"/>
      <c r="O15" s="16"/>
    </row>
    <row r="16" spans="1:42" ht="22.25" customHeight="1" x14ac:dyDescent="0.2">
      <c r="A16" s="14"/>
      <c r="B16" s="505"/>
      <c r="C16" s="506"/>
      <c r="D16" s="506"/>
      <c r="E16" s="506"/>
      <c r="F16" s="506"/>
      <c r="G16" s="506"/>
      <c r="H16" s="506"/>
      <c r="I16" s="507"/>
      <c r="J16" s="15"/>
      <c r="K16" s="28" t="s">
        <v>115</v>
      </c>
      <c r="L16" s="173"/>
      <c r="M16" s="173"/>
      <c r="N16" s="174"/>
      <c r="O16" s="16"/>
    </row>
    <row r="17" spans="1:42" ht="22.25" customHeight="1" x14ac:dyDescent="0.2">
      <c r="A17" s="14"/>
      <c r="B17" s="505"/>
      <c r="C17" s="506"/>
      <c r="D17" s="506"/>
      <c r="E17" s="506"/>
      <c r="F17" s="506"/>
      <c r="G17" s="506"/>
      <c r="H17" s="506"/>
      <c r="I17" s="507"/>
      <c r="J17" s="15"/>
      <c r="K17" s="28" t="s">
        <v>116</v>
      </c>
      <c r="L17" s="173"/>
      <c r="M17" s="173"/>
      <c r="N17" s="174"/>
      <c r="O17" s="16"/>
    </row>
    <row r="18" spans="1:42" ht="22.25" customHeight="1" x14ac:dyDescent="0.2">
      <c r="A18" s="14"/>
      <c r="B18" s="505"/>
      <c r="C18" s="506"/>
      <c r="D18" s="506"/>
      <c r="E18" s="506"/>
      <c r="F18" s="506"/>
      <c r="G18" s="506"/>
      <c r="H18" s="506"/>
      <c r="I18" s="507"/>
      <c r="J18" s="15"/>
      <c r="K18" s="28" t="s">
        <v>117</v>
      </c>
      <c r="L18" s="173"/>
      <c r="M18" s="173"/>
      <c r="N18" s="174"/>
      <c r="O18" s="16"/>
    </row>
    <row r="19" spans="1:42" ht="22.25" customHeight="1" x14ac:dyDescent="0.2">
      <c r="A19" s="14"/>
      <c r="B19" s="505"/>
      <c r="C19" s="506"/>
      <c r="D19" s="506"/>
      <c r="E19" s="506"/>
      <c r="F19" s="506"/>
      <c r="G19" s="506"/>
      <c r="H19" s="506"/>
      <c r="I19" s="507"/>
      <c r="J19" s="15"/>
      <c r="K19" s="28" t="s">
        <v>118</v>
      </c>
      <c r="L19" s="173"/>
      <c r="M19" s="173"/>
      <c r="N19" s="174"/>
      <c r="O19" s="16"/>
    </row>
    <row r="20" spans="1:42" ht="22.25" customHeight="1" x14ac:dyDescent="0.2">
      <c r="A20" s="14"/>
      <c r="B20" s="505"/>
      <c r="C20" s="506"/>
      <c r="D20" s="506"/>
      <c r="E20" s="506"/>
      <c r="F20" s="506"/>
      <c r="G20" s="506"/>
      <c r="H20" s="506"/>
      <c r="I20" s="507"/>
      <c r="J20" s="15"/>
      <c r="K20" s="28" t="s">
        <v>119</v>
      </c>
      <c r="L20" s="173"/>
      <c r="M20" s="173"/>
      <c r="N20" s="174"/>
      <c r="O20" s="16"/>
    </row>
    <row r="21" spans="1:42" ht="22.25" customHeight="1" x14ac:dyDescent="0.2">
      <c r="A21" s="14"/>
      <c r="B21" s="505"/>
      <c r="C21" s="506"/>
      <c r="D21" s="506"/>
      <c r="E21" s="506"/>
      <c r="F21" s="506"/>
      <c r="G21" s="506"/>
      <c r="H21" s="506"/>
      <c r="I21" s="507"/>
      <c r="J21" s="15"/>
      <c r="K21" s="28" t="s">
        <v>120</v>
      </c>
      <c r="L21" s="173"/>
      <c r="M21" s="173"/>
      <c r="N21" s="174"/>
      <c r="O21" s="16"/>
    </row>
    <row r="22" spans="1:42" ht="22.25" customHeight="1" x14ac:dyDescent="0.2">
      <c r="A22" s="14"/>
      <c r="B22" s="505"/>
      <c r="C22" s="506"/>
      <c r="D22" s="506"/>
      <c r="E22" s="506"/>
      <c r="F22" s="506"/>
      <c r="G22" s="506"/>
      <c r="H22" s="506"/>
      <c r="I22" s="507"/>
      <c r="J22" s="15"/>
      <c r="K22" s="28" t="s">
        <v>121</v>
      </c>
      <c r="L22" s="173"/>
      <c r="M22" s="173"/>
      <c r="N22" s="174"/>
      <c r="O22" s="16"/>
    </row>
    <row r="23" spans="1:42" ht="22.25" customHeight="1" x14ac:dyDescent="0.2">
      <c r="A23" s="14"/>
      <c r="B23" s="505"/>
      <c r="C23" s="506"/>
      <c r="D23" s="506"/>
      <c r="E23" s="506"/>
      <c r="F23" s="506"/>
      <c r="G23" s="506"/>
      <c r="H23" s="506"/>
      <c r="I23" s="507"/>
      <c r="J23" s="15"/>
      <c r="K23" s="28" t="s">
        <v>122</v>
      </c>
      <c r="L23" s="173"/>
      <c r="M23" s="173"/>
      <c r="N23" s="174"/>
      <c r="O23" s="16"/>
    </row>
    <row r="24" spans="1:42" ht="22.25" customHeight="1" x14ac:dyDescent="0.2">
      <c r="A24" s="14"/>
      <c r="B24" s="505"/>
      <c r="C24" s="506"/>
      <c r="D24" s="506"/>
      <c r="E24" s="506"/>
      <c r="F24" s="506"/>
      <c r="G24" s="506"/>
      <c r="H24" s="506"/>
      <c r="I24" s="507"/>
      <c r="J24" s="15"/>
      <c r="K24" s="28" t="s">
        <v>123</v>
      </c>
      <c r="L24" s="173"/>
      <c r="M24" s="173"/>
      <c r="N24" s="174"/>
      <c r="O24" s="16"/>
    </row>
    <row r="25" spans="1:42" ht="22.25" customHeight="1" x14ac:dyDescent="0.2">
      <c r="A25" s="14"/>
      <c r="B25" s="505"/>
      <c r="C25" s="506"/>
      <c r="D25" s="506"/>
      <c r="E25" s="506"/>
      <c r="F25" s="506"/>
      <c r="G25" s="506"/>
      <c r="H25" s="506"/>
      <c r="I25" s="507"/>
      <c r="J25" s="15"/>
      <c r="K25" s="28" t="s">
        <v>124</v>
      </c>
      <c r="L25" s="173"/>
      <c r="M25" s="173"/>
      <c r="N25" s="174"/>
      <c r="O25" s="16"/>
    </row>
    <row r="26" spans="1:42" ht="22.25" customHeight="1" thickBot="1" x14ac:dyDescent="0.25">
      <c r="A26" s="14"/>
      <c r="B26" s="508"/>
      <c r="C26" s="509"/>
      <c r="D26" s="509"/>
      <c r="E26" s="509"/>
      <c r="F26" s="509"/>
      <c r="G26" s="509"/>
      <c r="H26" s="509"/>
      <c r="I26" s="510"/>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497" t="s">
        <v>134</v>
      </c>
      <c r="C28" s="498"/>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499" t="s">
        <v>137</v>
      </c>
      <c r="C29" s="500"/>
      <c r="D29" s="500"/>
      <c r="E29" s="500"/>
      <c r="F29" s="500"/>
      <c r="G29" s="500"/>
      <c r="H29" s="500"/>
      <c r="I29" s="501"/>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02"/>
      <c r="C30" s="503"/>
      <c r="D30" s="503"/>
      <c r="E30" s="503"/>
      <c r="F30" s="503"/>
      <c r="G30" s="503"/>
      <c r="H30" s="503"/>
      <c r="I30" s="504"/>
      <c r="J30" s="15"/>
      <c r="K30" s="515" t="s">
        <v>97</v>
      </c>
      <c r="L30" s="516"/>
      <c r="M30" s="519"/>
      <c r="N30" s="520"/>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05"/>
      <c r="C31" s="506"/>
      <c r="D31" s="506"/>
      <c r="E31" s="506"/>
      <c r="F31" s="506"/>
      <c r="G31" s="506"/>
      <c r="H31" s="506"/>
      <c r="I31" s="507"/>
      <c r="J31" s="15"/>
      <c r="K31" s="517"/>
      <c r="L31" s="518"/>
      <c r="M31" s="521"/>
      <c r="N31" s="522"/>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05"/>
      <c r="C32" s="506"/>
      <c r="D32" s="506"/>
      <c r="E32" s="506"/>
      <c r="F32" s="506"/>
      <c r="G32" s="506"/>
      <c r="H32" s="506"/>
      <c r="I32" s="507"/>
      <c r="J32" s="15"/>
      <c r="K32" s="517" t="s">
        <v>98</v>
      </c>
      <c r="L32" s="518"/>
      <c r="M32" s="521"/>
      <c r="N32" s="522"/>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05"/>
      <c r="C33" s="506"/>
      <c r="D33" s="506"/>
      <c r="E33" s="506"/>
      <c r="F33" s="506"/>
      <c r="G33" s="506"/>
      <c r="H33" s="506"/>
      <c r="I33" s="507"/>
      <c r="J33" s="15"/>
      <c r="K33" s="517"/>
      <c r="L33" s="518"/>
      <c r="M33" s="521"/>
      <c r="N33" s="522"/>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08"/>
      <c r="C34" s="509"/>
      <c r="D34" s="509"/>
      <c r="E34" s="509"/>
      <c r="F34" s="509"/>
      <c r="G34" s="509"/>
      <c r="H34" s="509"/>
      <c r="I34" s="510"/>
      <c r="J34" s="15"/>
      <c r="K34" s="511" t="s">
        <v>10</v>
      </c>
      <c r="L34" s="512"/>
      <c r="M34" s="513"/>
      <c r="N34" s="51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497" t="s">
        <v>223</v>
      </c>
      <c r="C36" s="498"/>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499" t="s">
        <v>231</v>
      </c>
      <c r="C37" s="500"/>
      <c r="D37" s="500"/>
      <c r="E37" s="500"/>
      <c r="F37" s="500"/>
      <c r="G37" s="500"/>
      <c r="H37" s="500"/>
      <c r="I37" s="501"/>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02"/>
      <c r="C38" s="503"/>
      <c r="D38" s="503"/>
      <c r="E38" s="503"/>
      <c r="F38" s="503"/>
      <c r="G38" s="503"/>
      <c r="H38" s="503"/>
      <c r="I38" s="504"/>
      <c r="J38" s="15"/>
      <c r="K38" s="515" t="s">
        <v>97</v>
      </c>
      <c r="L38" s="516"/>
      <c r="M38" s="519"/>
      <c r="N38" s="520"/>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05"/>
      <c r="C39" s="506"/>
      <c r="D39" s="506"/>
      <c r="E39" s="506"/>
      <c r="F39" s="506"/>
      <c r="G39" s="506"/>
      <c r="H39" s="506"/>
      <c r="I39" s="507"/>
      <c r="J39" s="15"/>
      <c r="K39" s="517"/>
      <c r="L39" s="518"/>
      <c r="M39" s="521"/>
      <c r="N39" s="522"/>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05"/>
      <c r="C40" s="506"/>
      <c r="D40" s="506"/>
      <c r="E40" s="506"/>
      <c r="F40" s="506"/>
      <c r="G40" s="506"/>
      <c r="H40" s="506"/>
      <c r="I40" s="507"/>
      <c r="J40" s="15"/>
      <c r="K40" s="517" t="s">
        <v>157</v>
      </c>
      <c r="L40" s="518"/>
      <c r="M40" s="521"/>
      <c r="N40" s="522"/>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05"/>
      <c r="C41" s="506"/>
      <c r="D41" s="506"/>
      <c r="E41" s="506"/>
      <c r="F41" s="506"/>
      <c r="G41" s="506"/>
      <c r="H41" s="506"/>
      <c r="I41" s="507"/>
      <c r="J41" s="15"/>
      <c r="K41" s="517"/>
      <c r="L41" s="518"/>
      <c r="M41" s="521"/>
      <c r="N41" s="522"/>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05"/>
      <c r="C42" s="506"/>
      <c r="D42" s="506"/>
      <c r="E42" s="506"/>
      <c r="F42" s="506"/>
      <c r="G42" s="506"/>
      <c r="H42" s="506"/>
      <c r="I42" s="507"/>
      <c r="J42" s="15"/>
      <c r="K42" s="523" t="s">
        <v>10</v>
      </c>
      <c r="L42" s="524"/>
      <c r="M42" s="525"/>
      <c r="N42" s="526"/>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05"/>
      <c r="C43" s="506"/>
      <c r="D43" s="509"/>
      <c r="E43" s="509"/>
      <c r="F43" s="509"/>
      <c r="G43" s="509"/>
      <c r="H43" s="509"/>
      <c r="I43" s="510"/>
      <c r="J43" s="15"/>
      <c r="K43" s="511" t="s">
        <v>260</v>
      </c>
      <c r="L43" s="512"/>
      <c r="M43" s="513"/>
      <c r="N43" s="51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497" t="s">
        <v>223</v>
      </c>
      <c r="C46" s="498"/>
      <c r="D46" s="24"/>
      <c r="E46" s="24"/>
      <c r="F46" s="24"/>
      <c r="G46" s="24"/>
      <c r="H46" s="24"/>
      <c r="I46" s="15"/>
      <c r="J46" s="15"/>
      <c r="K46" s="15"/>
      <c r="L46" s="24"/>
      <c r="M46" s="24"/>
      <c r="N46" s="24"/>
      <c r="O46" s="16"/>
    </row>
    <row r="47" spans="1:42" ht="51" customHeight="1" thickBot="1" x14ac:dyDescent="0.25">
      <c r="A47" s="14"/>
      <c r="B47" s="499" t="s">
        <v>230</v>
      </c>
      <c r="C47" s="500"/>
      <c r="D47" s="500"/>
      <c r="E47" s="500"/>
      <c r="F47" s="500"/>
      <c r="G47" s="500"/>
      <c r="H47" s="500"/>
      <c r="I47" s="501"/>
      <c r="J47" s="15"/>
      <c r="K47" s="15"/>
      <c r="L47" s="24"/>
      <c r="M47" s="24"/>
      <c r="N47" s="24"/>
      <c r="O47" s="16"/>
    </row>
    <row r="48" spans="1:42" ht="22.25" customHeight="1" x14ac:dyDescent="0.2">
      <c r="A48" s="14"/>
      <c r="B48" s="502"/>
      <c r="C48" s="503"/>
      <c r="D48" s="503"/>
      <c r="E48" s="503"/>
      <c r="F48" s="503"/>
      <c r="G48" s="503"/>
      <c r="H48" s="503"/>
      <c r="I48" s="504"/>
      <c r="J48" s="15"/>
      <c r="K48" s="515" t="s">
        <v>97</v>
      </c>
      <c r="L48" s="516"/>
      <c r="M48" s="519"/>
      <c r="N48" s="520"/>
      <c r="O48" s="16"/>
    </row>
    <row r="49" spans="1:15" ht="22.25" customHeight="1" x14ac:dyDescent="0.2">
      <c r="A49" s="14"/>
      <c r="B49" s="505"/>
      <c r="C49" s="506"/>
      <c r="D49" s="506"/>
      <c r="E49" s="506"/>
      <c r="F49" s="506"/>
      <c r="G49" s="506"/>
      <c r="H49" s="506"/>
      <c r="I49" s="507"/>
      <c r="J49" s="15"/>
      <c r="K49" s="517"/>
      <c r="L49" s="518"/>
      <c r="M49" s="521"/>
      <c r="N49" s="522"/>
      <c r="O49" s="16"/>
    </row>
    <row r="50" spans="1:15" ht="22.25" customHeight="1" x14ac:dyDescent="0.2">
      <c r="A50" s="14"/>
      <c r="B50" s="505"/>
      <c r="C50" s="506"/>
      <c r="D50" s="506"/>
      <c r="E50" s="506"/>
      <c r="F50" s="506"/>
      <c r="G50" s="506"/>
      <c r="H50" s="506"/>
      <c r="I50" s="507"/>
      <c r="J50" s="15"/>
      <c r="K50" s="517" t="s">
        <v>157</v>
      </c>
      <c r="L50" s="518"/>
      <c r="M50" s="521"/>
      <c r="N50" s="522"/>
      <c r="O50" s="16"/>
    </row>
    <row r="51" spans="1:15" ht="22.25" customHeight="1" x14ac:dyDescent="0.2">
      <c r="A51" s="14"/>
      <c r="B51" s="505"/>
      <c r="C51" s="506"/>
      <c r="D51" s="506"/>
      <c r="E51" s="506"/>
      <c r="F51" s="506"/>
      <c r="G51" s="506"/>
      <c r="H51" s="506"/>
      <c r="I51" s="507"/>
      <c r="J51" s="15"/>
      <c r="K51" s="517"/>
      <c r="L51" s="518"/>
      <c r="M51" s="521"/>
      <c r="N51" s="522"/>
      <c r="O51" s="16"/>
    </row>
    <row r="52" spans="1:15" ht="22.25" customHeight="1" x14ac:dyDescent="0.2">
      <c r="A52" s="14"/>
      <c r="B52" s="505"/>
      <c r="C52" s="506"/>
      <c r="D52" s="506"/>
      <c r="E52" s="506"/>
      <c r="F52" s="506"/>
      <c r="G52" s="506"/>
      <c r="H52" s="506"/>
      <c r="I52" s="507"/>
      <c r="J52" s="15"/>
      <c r="K52" s="523" t="s">
        <v>10</v>
      </c>
      <c r="L52" s="524"/>
      <c r="M52" s="525"/>
      <c r="N52" s="526"/>
      <c r="O52" s="16"/>
    </row>
    <row r="53" spans="1:15" ht="22.25" customHeight="1" thickBot="1" x14ac:dyDescent="0.25">
      <c r="A53" s="14"/>
      <c r="B53" s="508"/>
      <c r="C53" s="509"/>
      <c r="D53" s="509"/>
      <c r="E53" s="509"/>
      <c r="F53" s="509"/>
      <c r="G53" s="509"/>
      <c r="H53" s="509"/>
      <c r="I53" s="510"/>
      <c r="J53" s="15"/>
      <c r="K53" s="511" t="s">
        <v>259</v>
      </c>
      <c r="L53" s="512"/>
      <c r="M53" s="513"/>
      <c r="N53" s="51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497" t="s">
        <v>135</v>
      </c>
      <c r="C56" s="498"/>
      <c r="D56" s="24"/>
      <c r="E56" s="24"/>
      <c r="F56" s="24"/>
      <c r="G56" s="24"/>
      <c r="H56" s="24"/>
      <c r="I56" s="15"/>
      <c r="J56" s="15"/>
      <c r="K56" s="15"/>
      <c r="L56" s="24"/>
      <c r="M56" s="24"/>
      <c r="N56" s="24"/>
      <c r="O56" s="16"/>
    </row>
    <row r="57" spans="1:15" ht="36" customHeight="1" thickBot="1" x14ac:dyDescent="0.25">
      <c r="A57" s="14"/>
      <c r="B57" s="499" t="s">
        <v>156</v>
      </c>
      <c r="C57" s="500"/>
      <c r="D57" s="500"/>
      <c r="E57" s="500"/>
      <c r="F57" s="500"/>
      <c r="G57" s="500"/>
      <c r="H57" s="500"/>
      <c r="I57" s="501"/>
      <c r="J57" s="15"/>
      <c r="K57" s="15"/>
      <c r="L57" s="24"/>
      <c r="M57" s="24"/>
      <c r="N57" s="24"/>
      <c r="O57" s="16"/>
    </row>
    <row r="58" spans="1:15" ht="22.25" customHeight="1" x14ac:dyDescent="0.2">
      <c r="A58" s="14"/>
      <c r="B58" s="502"/>
      <c r="C58" s="503"/>
      <c r="D58" s="503"/>
      <c r="E58" s="503"/>
      <c r="F58" s="503"/>
      <c r="G58" s="503"/>
      <c r="H58" s="503"/>
      <c r="I58" s="504"/>
      <c r="J58" s="15"/>
      <c r="K58" s="515" t="s">
        <v>97</v>
      </c>
      <c r="L58" s="516"/>
      <c r="M58" s="519"/>
      <c r="N58" s="520"/>
      <c r="O58" s="16"/>
    </row>
    <row r="59" spans="1:15" ht="22.25" customHeight="1" x14ac:dyDescent="0.2">
      <c r="A59" s="14"/>
      <c r="B59" s="505"/>
      <c r="C59" s="506"/>
      <c r="D59" s="506"/>
      <c r="E59" s="506"/>
      <c r="F59" s="506"/>
      <c r="G59" s="506"/>
      <c r="H59" s="506"/>
      <c r="I59" s="507"/>
      <c r="J59" s="15"/>
      <c r="K59" s="517"/>
      <c r="L59" s="518"/>
      <c r="M59" s="521"/>
      <c r="N59" s="522"/>
      <c r="O59" s="16"/>
    </row>
    <row r="60" spans="1:15" ht="22.25" customHeight="1" x14ac:dyDescent="0.2">
      <c r="A60" s="14"/>
      <c r="B60" s="505"/>
      <c r="C60" s="506"/>
      <c r="D60" s="506"/>
      <c r="E60" s="506"/>
      <c r="F60" s="506"/>
      <c r="G60" s="506"/>
      <c r="H60" s="506"/>
      <c r="I60" s="507"/>
      <c r="J60" s="15"/>
      <c r="K60" s="517" t="s">
        <v>158</v>
      </c>
      <c r="L60" s="518"/>
      <c r="M60" s="521"/>
      <c r="N60" s="522"/>
      <c r="O60" s="16"/>
    </row>
    <row r="61" spans="1:15" ht="22.25" customHeight="1" x14ac:dyDescent="0.2">
      <c r="A61" s="14"/>
      <c r="B61" s="505"/>
      <c r="C61" s="506"/>
      <c r="D61" s="506"/>
      <c r="E61" s="506"/>
      <c r="F61" s="506"/>
      <c r="G61" s="506"/>
      <c r="H61" s="506"/>
      <c r="I61" s="507"/>
      <c r="J61" s="15"/>
      <c r="K61" s="517"/>
      <c r="L61" s="518"/>
      <c r="M61" s="521"/>
      <c r="N61" s="522"/>
      <c r="O61" s="16"/>
    </row>
    <row r="62" spans="1:15" ht="22.25" customHeight="1" thickBot="1" x14ac:dyDescent="0.25">
      <c r="A62" s="14"/>
      <c r="B62" s="508"/>
      <c r="C62" s="509"/>
      <c r="D62" s="509"/>
      <c r="E62" s="509"/>
      <c r="F62" s="509"/>
      <c r="G62" s="509"/>
      <c r="H62" s="509"/>
      <c r="I62" s="510"/>
      <c r="J62" s="15"/>
      <c r="K62" s="511" t="s">
        <v>10</v>
      </c>
      <c r="L62" s="512"/>
      <c r="M62" s="513"/>
      <c r="N62" s="51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from Word" prompt="To allow some splitting of text copy and paste paragraphs from Word._x000a_Double click to enable pasting." sqref="B58:I62 B48:I53 B38:I43 B30:I34" xr:uid="{00000000-0002-0000-1A00-000000000000}"/>
    <dataValidation type="date" operator="greaterThan" allowBlank="1" showInputMessage="1" showErrorMessage="1" promptTitle="Date" prompt="Please enter the date in the format dd mmm yyy" sqref="M34:N34 M42:N43 M52:N53 M62:N62" xr:uid="{00000000-0002-0000-1A00-000001000000}">
      <formula1>43607</formula1>
    </dataValidation>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1A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5C1AFAE9-30D7-4ACE-81EF-3D284AD0A171}">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E7B571FF-62B6-4075-AD1D-F2A40AB6119E}">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C99C572D-531F-464A-9B46-9A267D9CBF9D}">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B4A1DB04-BC63-46A5-A927-1F3548F2BB4C}">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14A7C4A2-D9A5-47C2-8D54-937329CD6D06}">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957945E9-B574-4373-A25A-F241AE53CD47}">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873E9233-49EA-4F02-8A18-A4AA708D8241}">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C2A02C9B-3D61-466D-8456-CBE4F5F2139F}">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694A6A59-0358-461D-B757-7A2AD782D36F}">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B0F875A5-1AAE-42EF-A44A-652901A491C4}">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8FCA1A51-E2F7-4CBB-A3EA-4B0B5232A6D1}">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A2667032-0DD0-4DD5-B60F-8D7945A3A907}">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E96D599E-3E13-4A4C-A1A4-0F9E02E985CB}">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A4FE6952-AFFD-4973-9E5D-1CE3EEC00F45}">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09A8CA08-97FB-4391-9188-8AEBFE34F30B}">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8F89E039-4348-4F85-BCDD-8CEEAF564633}">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1032DC17-C2CD-4552-B349-9C0A34B3B944}">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49BDA4DA-2987-4601-8E25-BEF07CE78CA4}">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67043B99-C1DD-4C7A-843C-843E1F773BB6}">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E6872B94-B19A-4A82-B11A-63C538F4D0F8}">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Work Location(s)" prompt="Please select the MAIN work location(s) you have been based at during this period._x000a__x000a_N.B. Warwick University is JLR Research at Warwick" xr:uid="{00000000-0002-0000-1A00-000003000000}">
          <x14:formula1>
            <xm:f>'Drop Down Lists'!$G$2:$G$21</xm:f>
          </x14:formula1>
          <xm:sqref>K5:N6</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1A00-000004000000}">
          <x14:formula1>
            <xm:f>'Drop Down Lists'!$A$22:$A$26</xm:f>
          </x14:formula1>
          <xm:sqref>N10:N26</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1A00-000005000000}">
          <x14:formula1>
            <xm:f>'Drop Down Lists'!$A$2:$A$3</xm:f>
          </x14:formula1>
          <xm:sqref>I44 I54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1A00-000006000000}">
          <x14:formula1>
            <xm:f>'Drop Down Lists'!$A$2:$A$3</xm:f>
          </x14:formula1>
          <xm:sqref>E44 E54</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1A00-000007000000}">
          <x14:formula1>
            <xm:f>'Drop Down Lists'!$A$2:$A$3</xm:f>
          </x14:formula1>
          <xm:sqref>C44 C54</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1A00-000008000000}">
          <x14:formula1>
            <xm:f>'Drop Down Lists'!$A$22:$A$26</xm:f>
          </x14:formula1>
          <xm:sqref>M10:M26</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1A00-000009000000}">
          <x14:formula1>
            <xm:f>'Drop Down Lists'!$A$22:$A$26</xm:f>
          </x14:formula1>
          <xm:sqref>L10:L26</xm:sqref>
        </x14:dataValidation>
        <x14:dataValidation type="list" allowBlank="1" showInputMessage="1" showErrorMessage="1" promptTitle="Attendance" prompt="Attendance &amp; Engagement with the programme:_x000a_Excellent (90-100%)_x000a_Satisfactory (80-90%)_x000a_Concerning (&lt;80%)" xr:uid="{00000000-0002-0000-1A00-00000A000000}">
          <x14:formula1>
            <xm:f>'Drop Down Lists'!$A$38:$A$40</xm:f>
          </x14:formula1>
          <xm:sqref>G54 G44</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pageSetUpPr fitToPage="1"/>
  </sheetPr>
  <dimension ref="A1:AP168"/>
  <sheetViews>
    <sheetView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Y6 R2</v>
      </c>
      <c r="B1" s="19"/>
      <c r="C1" s="19"/>
      <c r="D1" s="19"/>
      <c r="E1" s="19"/>
      <c r="F1" s="19"/>
      <c r="G1" s="19"/>
      <c r="H1" s="19"/>
      <c r="I1" s="19"/>
      <c r="J1" s="19"/>
      <c r="K1" s="223"/>
      <c r="L1" s="529" t="s">
        <v>256</v>
      </c>
      <c r="M1" s="529"/>
      <c r="N1" s="318">
        <f ca="1">TODAY()</f>
        <v>43969</v>
      </c>
      <c r="O1" s="20"/>
    </row>
    <row r="2" spans="1:42" ht="35" x14ac:dyDescent="0.35">
      <c r="A2" s="14"/>
      <c r="B2" s="465" t="s">
        <v>331</v>
      </c>
      <c r="C2" s="465"/>
      <c r="D2" s="465"/>
      <c r="E2" s="465"/>
      <c r="F2" s="465"/>
      <c r="G2" s="465"/>
      <c r="H2" s="465"/>
      <c r="I2" s="465"/>
      <c r="J2" s="465"/>
      <c r="K2" s="465"/>
      <c r="L2" s="465"/>
      <c r="M2" s="465"/>
      <c r="N2" s="465"/>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36" t="s">
        <v>254</v>
      </c>
      <c r="L4" s="537"/>
      <c r="M4" s="537"/>
      <c r="N4" s="53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19" t="s">
        <v>211</v>
      </c>
      <c r="C5" s="421"/>
      <c r="D5" s="530" t="str">
        <f>'Front Sheet'!C5:C6</f>
        <v>Philip</v>
      </c>
      <c r="E5" s="532" t="str">
        <f>'Front Sheet'!D5:D6</f>
        <v>McGaw</v>
      </c>
      <c r="F5" s="534" t="str">
        <f>'Front Sheet'!G2</f>
        <v>pmcgaw</v>
      </c>
      <c r="G5" s="119">
        <f>'Front Sheet'!J5</f>
        <v>83137730</v>
      </c>
      <c r="H5" s="15"/>
      <c r="I5" s="25"/>
      <c r="J5" s="15"/>
      <c r="K5" s="539"/>
      <c r="L5" s="540"/>
      <c r="M5" s="540"/>
      <c r="N5" s="541"/>
      <c r="O5" s="16"/>
    </row>
    <row r="6" spans="1:42" ht="18" customHeight="1" thickBot="1" x14ac:dyDescent="0.25">
      <c r="A6" s="14"/>
      <c r="B6" s="422"/>
      <c r="C6" s="424"/>
      <c r="D6" s="531"/>
      <c r="E6" s="533"/>
      <c r="F6" s="535"/>
      <c r="G6" s="120">
        <f>'Front Sheet'!J6</f>
        <v>0</v>
      </c>
      <c r="H6" s="15"/>
      <c r="I6" s="25"/>
      <c r="J6" s="15"/>
      <c r="K6" s="542"/>
      <c r="L6" s="543"/>
      <c r="M6" s="543"/>
      <c r="N6" s="544"/>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499" t="s">
        <v>232</v>
      </c>
      <c r="C9" s="527"/>
      <c r="D9" s="527"/>
      <c r="E9" s="527"/>
      <c r="F9" s="527"/>
      <c r="G9" s="527"/>
      <c r="H9" s="527"/>
      <c r="I9" s="528"/>
      <c r="J9" s="15"/>
      <c r="K9" s="26" t="s">
        <v>136</v>
      </c>
      <c r="L9" s="89" t="s">
        <v>126</v>
      </c>
      <c r="M9" s="89" t="s">
        <v>128</v>
      </c>
      <c r="N9" s="96" t="s">
        <v>127</v>
      </c>
      <c r="O9" s="16"/>
      <c r="P9" s="165"/>
      <c r="Q9" s="165"/>
      <c r="R9" s="165"/>
      <c r="S9" s="165"/>
      <c r="T9" s="165"/>
    </row>
    <row r="10" spans="1:42" ht="22.25" customHeight="1" x14ac:dyDescent="0.2">
      <c r="A10" s="14"/>
      <c r="B10" s="502"/>
      <c r="C10" s="503"/>
      <c r="D10" s="503"/>
      <c r="E10" s="503"/>
      <c r="F10" s="503"/>
      <c r="G10" s="503"/>
      <c r="H10" s="503"/>
      <c r="I10" s="504"/>
      <c r="J10" s="15"/>
      <c r="K10" s="27" t="s">
        <v>109</v>
      </c>
      <c r="L10" s="170"/>
      <c r="M10" s="171"/>
      <c r="N10" s="172"/>
      <c r="O10" s="16"/>
    </row>
    <row r="11" spans="1:42" ht="22.25" customHeight="1" x14ac:dyDescent="0.2">
      <c r="A11" s="14"/>
      <c r="B11" s="505"/>
      <c r="C11" s="506"/>
      <c r="D11" s="506"/>
      <c r="E11" s="506"/>
      <c r="F11" s="506"/>
      <c r="G11" s="506"/>
      <c r="H11" s="506"/>
      <c r="I11" s="507"/>
      <c r="J11" s="15"/>
      <c r="K11" s="28" t="s">
        <v>110</v>
      </c>
      <c r="L11" s="173"/>
      <c r="M11" s="173"/>
      <c r="N11" s="174"/>
      <c r="O11" s="16"/>
    </row>
    <row r="12" spans="1:42" ht="22.25" customHeight="1" x14ac:dyDescent="0.2">
      <c r="A12" s="14"/>
      <c r="B12" s="505"/>
      <c r="C12" s="506"/>
      <c r="D12" s="506"/>
      <c r="E12" s="506"/>
      <c r="F12" s="506"/>
      <c r="G12" s="506"/>
      <c r="H12" s="506"/>
      <c r="I12" s="507"/>
      <c r="J12" s="15"/>
      <c r="K12" s="28" t="s">
        <v>111</v>
      </c>
      <c r="L12" s="173"/>
      <c r="M12" s="173"/>
      <c r="N12" s="174"/>
      <c r="O12" s="16"/>
    </row>
    <row r="13" spans="1:42" ht="22.25" customHeight="1" x14ac:dyDescent="0.2">
      <c r="A13" s="14"/>
      <c r="B13" s="505"/>
      <c r="C13" s="506"/>
      <c r="D13" s="506"/>
      <c r="E13" s="506"/>
      <c r="F13" s="506"/>
      <c r="G13" s="506"/>
      <c r="H13" s="506"/>
      <c r="I13" s="507"/>
      <c r="J13" s="15"/>
      <c r="K13" s="28" t="s">
        <v>112</v>
      </c>
      <c r="L13" s="173"/>
      <c r="M13" s="173"/>
      <c r="N13" s="174"/>
      <c r="O13" s="16"/>
    </row>
    <row r="14" spans="1:42" ht="22.25" customHeight="1" x14ac:dyDescent="0.2">
      <c r="A14" s="14"/>
      <c r="B14" s="505"/>
      <c r="C14" s="506"/>
      <c r="D14" s="506"/>
      <c r="E14" s="506"/>
      <c r="F14" s="506"/>
      <c r="G14" s="506"/>
      <c r="H14" s="506"/>
      <c r="I14" s="507"/>
      <c r="J14" s="15"/>
      <c r="K14" s="28" t="s">
        <v>113</v>
      </c>
      <c r="L14" s="173"/>
      <c r="M14" s="173"/>
      <c r="N14" s="174"/>
      <c r="O14" s="16"/>
    </row>
    <row r="15" spans="1:42" ht="22.25" customHeight="1" x14ac:dyDescent="0.2">
      <c r="A15" s="14"/>
      <c r="B15" s="505"/>
      <c r="C15" s="506"/>
      <c r="D15" s="506"/>
      <c r="E15" s="506"/>
      <c r="F15" s="506"/>
      <c r="G15" s="506"/>
      <c r="H15" s="506"/>
      <c r="I15" s="507"/>
      <c r="J15" s="15"/>
      <c r="K15" s="28" t="s">
        <v>114</v>
      </c>
      <c r="L15" s="173"/>
      <c r="M15" s="173"/>
      <c r="N15" s="174"/>
      <c r="O15" s="16"/>
    </row>
    <row r="16" spans="1:42" ht="22.25" customHeight="1" x14ac:dyDescent="0.2">
      <c r="A16" s="14"/>
      <c r="B16" s="505"/>
      <c r="C16" s="506"/>
      <c r="D16" s="506"/>
      <c r="E16" s="506"/>
      <c r="F16" s="506"/>
      <c r="G16" s="506"/>
      <c r="H16" s="506"/>
      <c r="I16" s="507"/>
      <c r="J16" s="15"/>
      <c r="K16" s="28" t="s">
        <v>115</v>
      </c>
      <c r="L16" s="173"/>
      <c r="M16" s="173"/>
      <c r="N16" s="174"/>
      <c r="O16" s="16"/>
    </row>
    <row r="17" spans="1:42" ht="22.25" customHeight="1" x14ac:dyDescent="0.2">
      <c r="A17" s="14"/>
      <c r="B17" s="505"/>
      <c r="C17" s="506"/>
      <c r="D17" s="506"/>
      <c r="E17" s="506"/>
      <c r="F17" s="506"/>
      <c r="G17" s="506"/>
      <c r="H17" s="506"/>
      <c r="I17" s="507"/>
      <c r="J17" s="15"/>
      <c r="K17" s="28" t="s">
        <v>116</v>
      </c>
      <c r="L17" s="173"/>
      <c r="M17" s="173"/>
      <c r="N17" s="174"/>
      <c r="O17" s="16"/>
    </row>
    <row r="18" spans="1:42" ht="22.25" customHeight="1" x14ac:dyDescent="0.2">
      <c r="A18" s="14"/>
      <c r="B18" s="505"/>
      <c r="C18" s="506"/>
      <c r="D18" s="506"/>
      <c r="E18" s="506"/>
      <c r="F18" s="506"/>
      <c r="G18" s="506"/>
      <c r="H18" s="506"/>
      <c r="I18" s="507"/>
      <c r="J18" s="15"/>
      <c r="K18" s="28" t="s">
        <v>117</v>
      </c>
      <c r="L18" s="173"/>
      <c r="M18" s="173"/>
      <c r="N18" s="174"/>
      <c r="O18" s="16"/>
    </row>
    <row r="19" spans="1:42" ht="22.25" customHeight="1" x14ac:dyDescent="0.2">
      <c r="A19" s="14"/>
      <c r="B19" s="505"/>
      <c r="C19" s="506"/>
      <c r="D19" s="506"/>
      <c r="E19" s="506"/>
      <c r="F19" s="506"/>
      <c r="G19" s="506"/>
      <c r="H19" s="506"/>
      <c r="I19" s="507"/>
      <c r="J19" s="15"/>
      <c r="K19" s="28" t="s">
        <v>118</v>
      </c>
      <c r="L19" s="173"/>
      <c r="M19" s="173"/>
      <c r="N19" s="174"/>
      <c r="O19" s="16"/>
    </row>
    <row r="20" spans="1:42" ht="22.25" customHeight="1" x14ac:dyDescent="0.2">
      <c r="A20" s="14"/>
      <c r="B20" s="505"/>
      <c r="C20" s="506"/>
      <c r="D20" s="506"/>
      <c r="E20" s="506"/>
      <c r="F20" s="506"/>
      <c r="G20" s="506"/>
      <c r="H20" s="506"/>
      <c r="I20" s="507"/>
      <c r="J20" s="15"/>
      <c r="K20" s="28" t="s">
        <v>119</v>
      </c>
      <c r="L20" s="173"/>
      <c r="M20" s="173"/>
      <c r="N20" s="174"/>
      <c r="O20" s="16"/>
    </row>
    <row r="21" spans="1:42" ht="22.25" customHeight="1" x14ac:dyDescent="0.2">
      <c r="A21" s="14"/>
      <c r="B21" s="505"/>
      <c r="C21" s="506"/>
      <c r="D21" s="506"/>
      <c r="E21" s="506"/>
      <c r="F21" s="506"/>
      <c r="G21" s="506"/>
      <c r="H21" s="506"/>
      <c r="I21" s="507"/>
      <c r="J21" s="15"/>
      <c r="K21" s="28" t="s">
        <v>120</v>
      </c>
      <c r="L21" s="173"/>
      <c r="M21" s="173"/>
      <c r="N21" s="174"/>
      <c r="O21" s="16"/>
    </row>
    <row r="22" spans="1:42" ht="22.25" customHeight="1" x14ac:dyDescent="0.2">
      <c r="A22" s="14"/>
      <c r="B22" s="505"/>
      <c r="C22" s="506"/>
      <c r="D22" s="506"/>
      <c r="E22" s="506"/>
      <c r="F22" s="506"/>
      <c r="G22" s="506"/>
      <c r="H22" s="506"/>
      <c r="I22" s="507"/>
      <c r="J22" s="15"/>
      <c r="K22" s="28" t="s">
        <v>121</v>
      </c>
      <c r="L22" s="173"/>
      <c r="M22" s="173"/>
      <c r="N22" s="174"/>
      <c r="O22" s="16"/>
    </row>
    <row r="23" spans="1:42" ht="22.25" customHeight="1" x14ac:dyDescent="0.2">
      <c r="A23" s="14"/>
      <c r="B23" s="505"/>
      <c r="C23" s="506"/>
      <c r="D23" s="506"/>
      <c r="E23" s="506"/>
      <c r="F23" s="506"/>
      <c r="G23" s="506"/>
      <c r="H23" s="506"/>
      <c r="I23" s="507"/>
      <c r="J23" s="15"/>
      <c r="K23" s="28" t="s">
        <v>122</v>
      </c>
      <c r="L23" s="173"/>
      <c r="M23" s="173"/>
      <c r="N23" s="174"/>
      <c r="O23" s="16"/>
    </row>
    <row r="24" spans="1:42" ht="22.25" customHeight="1" x14ac:dyDescent="0.2">
      <c r="A24" s="14"/>
      <c r="B24" s="505"/>
      <c r="C24" s="506"/>
      <c r="D24" s="506"/>
      <c r="E24" s="506"/>
      <c r="F24" s="506"/>
      <c r="G24" s="506"/>
      <c r="H24" s="506"/>
      <c r="I24" s="507"/>
      <c r="J24" s="15"/>
      <c r="K24" s="28" t="s">
        <v>123</v>
      </c>
      <c r="L24" s="173"/>
      <c r="M24" s="173"/>
      <c r="N24" s="174"/>
      <c r="O24" s="16"/>
    </row>
    <row r="25" spans="1:42" ht="22.25" customHeight="1" x14ac:dyDescent="0.2">
      <c r="A25" s="14"/>
      <c r="B25" s="505"/>
      <c r="C25" s="506"/>
      <c r="D25" s="506"/>
      <c r="E25" s="506"/>
      <c r="F25" s="506"/>
      <c r="G25" s="506"/>
      <c r="H25" s="506"/>
      <c r="I25" s="507"/>
      <c r="J25" s="15"/>
      <c r="K25" s="28" t="s">
        <v>124</v>
      </c>
      <c r="L25" s="173"/>
      <c r="M25" s="173"/>
      <c r="N25" s="174"/>
      <c r="O25" s="16"/>
    </row>
    <row r="26" spans="1:42" ht="22.25" customHeight="1" thickBot="1" x14ac:dyDescent="0.25">
      <c r="A26" s="14"/>
      <c r="B26" s="508"/>
      <c r="C26" s="509"/>
      <c r="D26" s="509"/>
      <c r="E26" s="509"/>
      <c r="F26" s="509"/>
      <c r="G26" s="509"/>
      <c r="H26" s="509"/>
      <c r="I26" s="510"/>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497" t="s">
        <v>134</v>
      </c>
      <c r="C28" s="498"/>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499" t="s">
        <v>137</v>
      </c>
      <c r="C29" s="500"/>
      <c r="D29" s="500"/>
      <c r="E29" s="500"/>
      <c r="F29" s="500"/>
      <c r="G29" s="500"/>
      <c r="H29" s="500"/>
      <c r="I29" s="501"/>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02"/>
      <c r="C30" s="503"/>
      <c r="D30" s="503"/>
      <c r="E30" s="503"/>
      <c r="F30" s="503"/>
      <c r="G30" s="503"/>
      <c r="H30" s="503"/>
      <c r="I30" s="504"/>
      <c r="J30" s="15"/>
      <c r="K30" s="515" t="s">
        <v>97</v>
      </c>
      <c r="L30" s="516"/>
      <c r="M30" s="519"/>
      <c r="N30" s="520"/>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05"/>
      <c r="C31" s="506"/>
      <c r="D31" s="506"/>
      <c r="E31" s="506"/>
      <c r="F31" s="506"/>
      <c r="G31" s="506"/>
      <c r="H31" s="506"/>
      <c r="I31" s="507"/>
      <c r="J31" s="15"/>
      <c r="K31" s="517"/>
      <c r="L31" s="518"/>
      <c r="M31" s="521"/>
      <c r="N31" s="522"/>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05"/>
      <c r="C32" s="506"/>
      <c r="D32" s="506"/>
      <c r="E32" s="506"/>
      <c r="F32" s="506"/>
      <c r="G32" s="506"/>
      <c r="H32" s="506"/>
      <c r="I32" s="507"/>
      <c r="J32" s="15"/>
      <c r="K32" s="517" t="s">
        <v>98</v>
      </c>
      <c r="L32" s="518"/>
      <c r="M32" s="521"/>
      <c r="N32" s="522"/>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05"/>
      <c r="C33" s="506"/>
      <c r="D33" s="506"/>
      <c r="E33" s="506"/>
      <c r="F33" s="506"/>
      <c r="G33" s="506"/>
      <c r="H33" s="506"/>
      <c r="I33" s="507"/>
      <c r="J33" s="15"/>
      <c r="K33" s="517"/>
      <c r="L33" s="518"/>
      <c r="M33" s="521"/>
      <c r="N33" s="522"/>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08"/>
      <c r="C34" s="509"/>
      <c r="D34" s="509"/>
      <c r="E34" s="509"/>
      <c r="F34" s="509"/>
      <c r="G34" s="509"/>
      <c r="H34" s="509"/>
      <c r="I34" s="510"/>
      <c r="J34" s="15"/>
      <c r="K34" s="511" t="s">
        <v>10</v>
      </c>
      <c r="L34" s="512"/>
      <c r="M34" s="513"/>
      <c r="N34" s="51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497" t="s">
        <v>223</v>
      </c>
      <c r="C36" s="498"/>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499" t="s">
        <v>231</v>
      </c>
      <c r="C37" s="500"/>
      <c r="D37" s="500"/>
      <c r="E37" s="500"/>
      <c r="F37" s="500"/>
      <c r="G37" s="500"/>
      <c r="H37" s="500"/>
      <c r="I37" s="501"/>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02"/>
      <c r="C38" s="503"/>
      <c r="D38" s="503"/>
      <c r="E38" s="503"/>
      <c r="F38" s="503"/>
      <c r="G38" s="503"/>
      <c r="H38" s="503"/>
      <c r="I38" s="504"/>
      <c r="J38" s="15"/>
      <c r="K38" s="515" t="s">
        <v>97</v>
      </c>
      <c r="L38" s="516"/>
      <c r="M38" s="519"/>
      <c r="N38" s="520"/>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05"/>
      <c r="C39" s="506"/>
      <c r="D39" s="506"/>
      <c r="E39" s="506"/>
      <c r="F39" s="506"/>
      <c r="G39" s="506"/>
      <c r="H39" s="506"/>
      <c r="I39" s="507"/>
      <c r="J39" s="15"/>
      <c r="K39" s="517"/>
      <c r="L39" s="518"/>
      <c r="M39" s="521"/>
      <c r="N39" s="522"/>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05"/>
      <c r="C40" s="506"/>
      <c r="D40" s="506"/>
      <c r="E40" s="506"/>
      <c r="F40" s="506"/>
      <c r="G40" s="506"/>
      <c r="H40" s="506"/>
      <c r="I40" s="507"/>
      <c r="J40" s="15"/>
      <c r="K40" s="517" t="s">
        <v>157</v>
      </c>
      <c r="L40" s="518"/>
      <c r="M40" s="521"/>
      <c r="N40" s="522"/>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05"/>
      <c r="C41" s="506"/>
      <c r="D41" s="506"/>
      <c r="E41" s="506"/>
      <c r="F41" s="506"/>
      <c r="G41" s="506"/>
      <c r="H41" s="506"/>
      <c r="I41" s="507"/>
      <c r="J41" s="15"/>
      <c r="K41" s="517"/>
      <c r="L41" s="518"/>
      <c r="M41" s="521"/>
      <c r="N41" s="522"/>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05"/>
      <c r="C42" s="506"/>
      <c r="D42" s="506"/>
      <c r="E42" s="506"/>
      <c r="F42" s="506"/>
      <c r="G42" s="506"/>
      <c r="H42" s="506"/>
      <c r="I42" s="507"/>
      <c r="J42" s="15"/>
      <c r="K42" s="523" t="s">
        <v>10</v>
      </c>
      <c r="L42" s="524"/>
      <c r="M42" s="525"/>
      <c r="N42" s="526"/>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05"/>
      <c r="C43" s="506"/>
      <c r="D43" s="509"/>
      <c r="E43" s="509"/>
      <c r="F43" s="509"/>
      <c r="G43" s="509"/>
      <c r="H43" s="509"/>
      <c r="I43" s="510"/>
      <c r="J43" s="15"/>
      <c r="K43" s="511" t="s">
        <v>260</v>
      </c>
      <c r="L43" s="512"/>
      <c r="M43" s="513"/>
      <c r="N43" s="51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497" t="s">
        <v>223</v>
      </c>
      <c r="C46" s="498"/>
      <c r="D46" s="24"/>
      <c r="E46" s="24"/>
      <c r="F46" s="24"/>
      <c r="G46" s="24"/>
      <c r="H46" s="24"/>
      <c r="I46" s="15"/>
      <c r="J46" s="15"/>
      <c r="K46" s="15"/>
      <c r="L46" s="24"/>
      <c r="M46" s="24"/>
      <c r="N46" s="24"/>
      <c r="O46" s="16"/>
    </row>
    <row r="47" spans="1:42" ht="51" customHeight="1" thickBot="1" x14ac:dyDescent="0.25">
      <c r="A47" s="14"/>
      <c r="B47" s="499" t="s">
        <v>230</v>
      </c>
      <c r="C47" s="500"/>
      <c r="D47" s="500"/>
      <c r="E47" s="500"/>
      <c r="F47" s="500"/>
      <c r="G47" s="500"/>
      <c r="H47" s="500"/>
      <c r="I47" s="501"/>
      <c r="J47" s="15"/>
      <c r="K47" s="15"/>
      <c r="L47" s="24"/>
      <c r="M47" s="24"/>
      <c r="N47" s="24"/>
      <c r="O47" s="16"/>
    </row>
    <row r="48" spans="1:42" ht="22.25" customHeight="1" x14ac:dyDescent="0.2">
      <c r="A48" s="14"/>
      <c r="B48" s="502"/>
      <c r="C48" s="503"/>
      <c r="D48" s="503"/>
      <c r="E48" s="503"/>
      <c r="F48" s="503"/>
      <c r="G48" s="503"/>
      <c r="H48" s="503"/>
      <c r="I48" s="504"/>
      <c r="J48" s="15"/>
      <c r="K48" s="515" t="s">
        <v>97</v>
      </c>
      <c r="L48" s="516"/>
      <c r="M48" s="519"/>
      <c r="N48" s="520"/>
      <c r="O48" s="16"/>
    </row>
    <row r="49" spans="1:15" ht="22.25" customHeight="1" x14ac:dyDescent="0.2">
      <c r="A49" s="14"/>
      <c r="B49" s="505"/>
      <c r="C49" s="506"/>
      <c r="D49" s="506"/>
      <c r="E49" s="506"/>
      <c r="F49" s="506"/>
      <c r="G49" s="506"/>
      <c r="H49" s="506"/>
      <c r="I49" s="507"/>
      <c r="J49" s="15"/>
      <c r="K49" s="517"/>
      <c r="L49" s="518"/>
      <c r="M49" s="521"/>
      <c r="N49" s="522"/>
      <c r="O49" s="16"/>
    </row>
    <row r="50" spans="1:15" ht="22.25" customHeight="1" x14ac:dyDescent="0.2">
      <c r="A50" s="14"/>
      <c r="B50" s="505"/>
      <c r="C50" s="506"/>
      <c r="D50" s="506"/>
      <c r="E50" s="506"/>
      <c r="F50" s="506"/>
      <c r="G50" s="506"/>
      <c r="H50" s="506"/>
      <c r="I50" s="507"/>
      <c r="J50" s="15"/>
      <c r="K50" s="517" t="s">
        <v>157</v>
      </c>
      <c r="L50" s="518"/>
      <c r="M50" s="521"/>
      <c r="N50" s="522"/>
      <c r="O50" s="16"/>
    </row>
    <row r="51" spans="1:15" ht="22.25" customHeight="1" x14ac:dyDescent="0.2">
      <c r="A51" s="14"/>
      <c r="B51" s="505"/>
      <c r="C51" s="506"/>
      <c r="D51" s="506"/>
      <c r="E51" s="506"/>
      <c r="F51" s="506"/>
      <c r="G51" s="506"/>
      <c r="H51" s="506"/>
      <c r="I51" s="507"/>
      <c r="J51" s="15"/>
      <c r="K51" s="517"/>
      <c r="L51" s="518"/>
      <c r="M51" s="521"/>
      <c r="N51" s="522"/>
      <c r="O51" s="16"/>
    </row>
    <row r="52" spans="1:15" ht="22.25" customHeight="1" x14ac:dyDescent="0.2">
      <c r="A52" s="14"/>
      <c r="B52" s="505"/>
      <c r="C52" s="506"/>
      <c r="D52" s="506"/>
      <c r="E52" s="506"/>
      <c r="F52" s="506"/>
      <c r="G52" s="506"/>
      <c r="H52" s="506"/>
      <c r="I52" s="507"/>
      <c r="J52" s="15"/>
      <c r="K52" s="523" t="s">
        <v>10</v>
      </c>
      <c r="L52" s="524"/>
      <c r="M52" s="525"/>
      <c r="N52" s="526"/>
      <c r="O52" s="16"/>
    </row>
    <row r="53" spans="1:15" ht="22.25" customHeight="1" thickBot="1" x14ac:dyDescent="0.25">
      <c r="A53" s="14"/>
      <c r="B53" s="508"/>
      <c r="C53" s="509"/>
      <c r="D53" s="509"/>
      <c r="E53" s="509"/>
      <c r="F53" s="509"/>
      <c r="G53" s="509"/>
      <c r="H53" s="509"/>
      <c r="I53" s="510"/>
      <c r="J53" s="15"/>
      <c r="K53" s="511" t="s">
        <v>259</v>
      </c>
      <c r="L53" s="512"/>
      <c r="M53" s="513"/>
      <c r="N53" s="51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497" t="s">
        <v>135</v>
      </c>
      <c r="C56" s="498"/>
      <c r="D56" s="24"/>
      <c r="E56" s="24"/>
      <c r="F56" s="24"/>
      <c r="G56" s="24"/>
      <c r="H56" s="24"/>
      <c r="I56" s="15"/>
      <c r="J56" s="15"/>
      <c r="K56" s="15"/>
      <c r="L56" s="24"/>
      <c r="M56" s="24"/>
      <c r="N56" s="24"/>
      <c r="O56" s="16"/>
    </row>
    <row r="57" spans="1:15" ht="36" customHeight="1" thickBot="1" x14ac:dyDescent="0.25">
      <c r="A57" s="14"/>
      <c r="B57" s="499" t="s">
        <v>156</v>
      </c>
      <c r="C57" s="500"/>
      <c r="D57" s="500"/>
      <c r="E57" s="500"/>
      <c r="F57" s="500"/>
      <c r="G57" s="500"/>
      <c r="H57" s="500"/>
      <c r="I57" s="501"/>
      <c r="J57" s="15"/>
      <c r="K57" s="15"/>
      <c r="L57" s="24"/>
      <c r="M57" s="24"/>
      <c r="N57" s="24"/>
      <c r="O57" s="16"/>
    </row>
    <row r="58" spans="1:15" ht="22.25" customHeight="1" x14ac:dyDescent="0.2">
      <c r="A58" s="14"/>
      <c r="B58" s="502"/>
      <c r="C58" s="503"/>
      <c r="D58" s="503"/>
      <c r="E58" s="503"/>
      <c r="F58" s="503"/>
      <c r="G58" s="503"/>
      <c r="H58" s="503"/>
      <c r="I58" s="504"/>
      <c r="J58" s="15"/>
      <c r="K58" s="515" t="s">
        <v>97</v>
      </c>
      <c r="L58" s="516"/>
      <c r="M58" s="519"/>
      <c r="N58" s="520"/>
      <c r="O58" s="16"/>
    </row>
    <row r="59" spans="1:15" ht="22.25" customHeight="1" x14ac:dyDescent="0.2">
      <c r="A59" s="14"/>
      <c r="B59" s="505"/>
      <c r="C59" s="506"/>
      <c r="D59" s="506"/>
      <c r="E59" s="506"/>
      <c r="F59" s="506"/>
      <c r="G59" s="506"/>
      <c r="H59" s="506"/>
      <c r="I59" s="507"/>
      <c r="J59" s="15"/>
      <c r="K59" s="517"/>
      <c r="L59" s="518"/>
      <c r="M59" s="521"/>
      <c r="N59" s="522"/>
      <c r="O59" s="16"/>
    </row>
    <row r="60" spans="1:15" ht="22.25" customHeight="1" x14ac:dyDescent="0.2">
      <c r="A60" s="14"/>
      <c r="B60" s="505"/>
      <c r="C60" s="506"/>
      <c r="D60" s="506"/>
      <c r="E60" s="506"/>
      <c r="F60" s="506"/>
      <c r="G60" s="506"/>
      <c r="H60" s="506"/>
      <c r="I60" s="507"/>
      <c r="J60" s="15"/>
      <c r="K60" s="517" t="s">
        <v>158</v>
      </c>
      <c r="L60" s="518"/>
      <c r="M60" s="521"/>
      <c r="N60" s="522"/>
      <c r="O60" s="16"/>
    </row>
    <row r="61" spans="1:15" ht="22.25" customHeight="1" x14ac:dyDescent="0.2">
      <c r="A61" s="14"/>
      <c r="B61" s="505"/>
      <c r="C61" s="506"/>
      <c r="D61" s="506"/>
      <c r="E61" s="506"/>
      <c r="F61" s="506"/>
      <c r="G61" s="506"/>
      <c r="H61" s="506"/>
      <c r="I61" s="507"/>
      <c r="J61" s="15"/>
      <c r="K61" s="517"/>
      <c r="L61" s="518"/>
      <c r="M61" s="521"/>
      <c r="N61" s="522"/>
      <c r="O61" s="16"/>
    </row>
    <row r="62" spans="1:15" ht="22.25" customHeight="1" thickBot="1" x14ac:dyDescent="0.25">
      <c r="A62" s="14"/>
      <c r="B62" s="508"/>
      <c r="C62" s="509"/>
      <c r="D62" s="509"/>
      <c r="E62" s="509"/>
      <c r="F62" s="509"/>
      <c r="G62" s="509"/>
      <c r="H62" s="509"/>
      <c r="I62" s="510"/>
      <c r="J62" s="15"/>
      <c r="K62" s="511" t="s">
        <v>10</v>
      </c>
      <c r="L62" s="512"/>
      <c r="M62" s="513"/>
      <c r="N62" s="51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1B00-000000000000}"/>
    <dataValidation type="date" operator="greaterThan" allowBlank="1" showInputMessage="1" showErrorMessage="1" promptTitle="Date" prompt="Please enter the date in the format dd mmm yyy" sqref="M34:N34 M42:N43 M52:N53 M62:N62" xr:uid="{00000000-0002-0000-1B00-000001000000}">
      <formula1>43607</formula1>
    </dataValidation>
    <dataValidation allowBlank="1" showInputMessage="1" showErrorMessage="1" promptTitle="Copy &amp; Paste from Word" prompt="To allow some splitting of text copy and paste paragraphs from Word._x000a_Double click to enable pasting." sqref="B58:I62 B48:I53 B38:I43 B30:I34" xr:uid="{00000000-0002-0000-1B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C92E0DE6-CBE4-41BC-AA8D-DAB28A6DB31F}">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6253FB3D-6A3E-4AAB-9137-E5225C625933}">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6E10AFA5-9591-4FE4-90E0-AFFADB51EA3C}">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A55BAA11-3774-41CF-9E2D-F5216BFFCB22}">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EA807654-9420-49BD-B2ED-BF694C70FE3E}">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097112C3-B7D6-4A38-A6E8-579DCF57144A}">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8F7ED4FD-35DC-4A34-BDEB-0D5175C35719}">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ADB49BA0-0188-4F3E-AEA1-2088C6EAF0BD}">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951686AD-C8D8-4BA8-AD0E-6497877A8607}">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2661E76D-3B53-42FC-B7C6-5F19751F4C29}">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5E6B5585-70BB-4857-9864-3271BDF4061F}">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40CAD56C-385C-4294-B8EC-FEAD3F006AEB}">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7B1118B1-5BE2-4E47-8AD7-7584B9E1D435}">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71CB5087-9535-4A2D-BC7C-6D00B955494E}">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53184E0F-BD43-4BAD-AC76-5B6DA689A241}">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DED87293-A3A3-48A7-A45F-F7D11E6383F8}">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B07A86EF-78B0-4D03-9778-7DDA3F8F7A13}">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5CA335C4-1921-4A3E-8730-39809D3E9250}">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E45AF353-3451-41EF-B599-204B077B94C5}">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FA04DBC9-F7C0-43BB-96A1-07ECC70B0B0F}">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Attendance" prompt="Attendance &amp; Engagement with the programme:_x000a_Excellent (90-100%)_x000a_Satisfactory (80-90%)_x000a_Concerning (&lt;80%)" xr:uid="{00000000-0002-0000-1B00-000003000000}">
          <x14:formula1>
            <xm:f>'Drop Down Lists'!$A$38:$A$40</xm:f>
          </x14:formula1>
          <xm:sqref>G54 G44</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1B00-000004000000}">
          <x14:formula1>
            <xm:f>'Drop Down Lists'!$A$22:$A$26</xm:f>
          </x14:formula1>
          <xm:sqref>L10:L26</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1B00-000005000000}">
          <x14:formula1>
            <xm:f>'Drop Down Lists'!$A$22:$A$26</xm:f>
          </x14:formula1>
          <xm:sqref>M10:M26</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1B00-000006000000}">
          <x14:formula1>
            <xm:f>'Drop Down Lists'!$A$2:$A$3</xm:f>
          </x14:formula1>
          <xm:sqref>C44 C54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1B00-000007000000}">
          <x14:formula1>
            <xm:f>'Drop Down Lists'!$A$2:$A$3</xm:f>
          </x14:formula1>
          <xm:sqref>E44 E54</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1B00-000008000000}">
          <x14:formula1>
            <xm:f>'Drop Down Lists'!$A$2:$A$3</xm:f>
          </x14:formula1>
          <xm:sqref>I44 I54</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1B00-000009000000}">
          <x14:formula1>
            <xm:f>'Drop Down Lists'!$A$22:$A$26</xm:f>
          </x14:formula1>
          <xm:sqref>N10:N26</xm:sqref>
        </x14:dataValidation>
        <x14:dataValidation type="list" allowBlank="1" showInputMessage="1" showErrorMessage="1" promptTitle="Work Location(s)" prompt="Please select the MAIN work location(s) you have been based at during this period._x000a__x000a_N.B. Warwick University is JLR Research at Warwick" xr:uid="{00000000-0002-0000-1B00-00000A000000}">
          <x14:formula1>
            <xm:f>'Drop Down Lists'!$G$2:$G$21</xm:f>
          </x14:formula1>
          <xm:sqref>K5:N6</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0">
    <pageSetUpPr fitToPage="1"/>
  </sheetPr>
  <dimension ref="A1:AP168"/>
  <sheetViews>
    <sheetView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Y6 R3</v>
      </c>
      <c r="B1" s="19"/>
      <c r="C1" s="19"/>
      <c r="D1" s="19"/>
      <c r="E1" s="19"/>
      <c r="F1" s="19"/>
      <c r="G1" s="19"/>
      <c r="H1" s="19"/>
      <c r="I1" s="19"/>
      <c r="J1" s="19"/>
      <c r="K1" s="223"/>
      <c r="L1" s="529" t="s">
        <v>256</v>
      </c>
      <c r="M1" s="529"/>
      <c r="N1" s="318">
        <f ca="1">TODAY()</f>
        <v>43969</v>
      </c>
      <c r="O1" s="20"/>
    </row>
    <row r="2" spans="1:42" ht="35" x14ac:dyDescent="0.35">
      <c r="A2" s="14"/>
      <c r="B2" s="465" t="s">
        <v>332</v>
      </c>
      <c r="C2" s="465"/>
      <c r="D2" s="465"/>
      <c r="E2" s="465"/>
      <c r="F2" s="465"/>
      <c r="G2" s="465"/>
      <c r="H2" s="465"/>
      <c r="I2" s="465"/>
      <c r="J2" s="465"/>
      <c r="K2" s="465"/>
      <c r="L2" s="465"/>
      <c r="M2" s="465"/>
      <c r="N2" s="465"/>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36" t="s">
        <v>254</v>
      </c>
      <c r="L4" s="537"/>
      <c r="M4" s="537"/>
      <c r="N4" s="53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19" t="s">
        <v>211</v>
      </c>
      <c r="C5" s="421"/>
      <c r="D5" s="530" t="str">
        <f>'Front Sheet'!C5:C6</f>
        <v>Philip</v>
      </c>
      <c r="E5" s="532" t="str">
        <f>'Front Sheet'!D5:D6</f>
        <v>McGaw</v>
      </c>
      <c r="F5" s="534" t="str">
        <f>'Front Sheet'!G2</f>
        <v>pmcgaw</v>
      </c>
      <c r="G5" s="119">
        <f>'Front Sheet'!J5</f>
        <v>83137730</v>
      </c>
      <c r="H5" s="15"/>
      <c r="I5" s="25"/>
      <c r="J5" s="15"/>
      <c r="K5" s="539"/>
      <c r="L5" s="540"/>
      <c r="M5" s="540"/>
      <c r="N5" s="541"/>
      <c r="O5" s="16"/>
    </row>
    <row r="6" spans="1:42" ht="18" customHeight="1" thickBot="1" x14ac:dyDescent="0.25">
      <c r="A6" s="14"/>
      <c r="B6" s="422"/>
      <c r="C6" s="424"/>
      <c r="D6" s="531"/>
      <c r="E6" s="533"/>
      <c r="F6" s="535"/>
      <c r="G6" s="120">
        <f>'Front Sheet'!J6</f>
        <v>0</v>
      </c>
      <c r="H6" s="15"/>
      <c r="I6" s="25"/>
      <c r="J6" s="15"/>
      <c r="K6" s="542"/>
      <c r="L6" s="543"/>
      <c r="M6" s="543"/>
      <c r="N6" s="544"/>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499" t="s">
        <v>232</v>
      </c>
      <c r="C9" s="527"/>
      <c r="D9" s="527"/>
      <c r="E9" s="527"/>
      <c r="F9" s="527"/>
      <c r="G9" s="527"/>
      <c r="H9" s="527"/>
      <c r="I9" s="528"/>
      <c r="J9" s="15"/>
      <c r="K9" s="26" t="s">
        <v>136</v>
      </c>
      <c r="L9" s="89" t="s">
        <v>126</v>
      </c>
      <c r="M9" s="89" t="s">
        <v>128</v>
      </c>
      <c r="N9" s="96" t="s">
        <v>127</v>
      </c>
      <c r="O9" s="16"/>
      <c r="P9" s="165"/>
      <c r="Q9" s="165"/>
      <c r="R9" s="165"/>
      <c r="S9" s="165"/>
      <c r="T9" s="165"/>
    </row>
    <row r="10" spans="1:42" ht="22.25" customHeight="1" x14ac:dyDescent="0.2">
      <c r="A10" s="14"/>
      <c r="B10" s="502"/>
      <c r="C10" s="503"/>
      <c r="D10" s="503"/>
      <c r="E10" s="503"/>
      <c r="F10" s="503"/>
      <c r="G10" s="503"/>
      <c r="H10" s="503"/>
      <c r="I10" s="504"/>
      <c r="J10" s="15"/>
      <c r="K10" s="27" t="s">
        <v>109</v>
      </c>
      <c r="L10" s="170"/>
      <c r="M10" s="171"/>
      <c r="N10" s="172"/>
      <c r="O10" s="16"/>
    </row>
    <row r="11" spans="1:42" ht="22.25" customHeight="1" x14ac:dyDescent="0.2">
      <c r="A11" s="14"/>
      <c r="B11" s="505"/>
      <c r="C11" s="506"/>
      <c r="D11" s="506"/>
      <c r="E11" s="506"/>
      <c r="F11" s="506"/>
      <c r="G11" s="506"/>
      <c r="H11" s="506"/>
      <c r="I11" s="507"/>
      <c r="J11" s="15"/>
      <c r="K11" s="28" t="s">
        <v>110</v>
      </c>
      <c r="L11" s="173"/>
      <c r="M11" s="173"/>
      <c r="N11" s="174"/>
      <c r="O11" s="16"/>
    </row>
    <row r="12" spans="1:42" ht="22.25" customHeight="1" x14ac:dyDescent="0.2">
      <c r="A12" s="14"/>
      <c r="B12" s="505"/>
      <c r="C12" s="506"/>
      <c r="D12" s="506"/>
      <c r="E12" s="506"/>
      <c r="F12" s="506"/>
      <c r="G12" s="506"/>
      <c r="H12" s="506"/>
      <c r="I12" s="507"/>
      <c r="J12" s="15"/>
      <c r="K12" s="28" t="s">
        <v>111</v>
      </c>
      <c r="L12" s="173"/>
      <c r="M12" s="173"/>
      <c r="N12" s="174"/>
      <c r="O12" s="16"/>
    </row>
    <row r="13" spans="1:42" ht="22.25" customHeight="1" x14ac:dyDescent="0.2">
      <c r="A13" s="14"/>
      <c r="B13" s="505"/>
      <c r="C13" s="506"/>
      <c r="D13" s="506"/>
      <c r="E13" s="506"/>
      <c r="F13" s="506"/>
      <c r="G13" s="506"/>
      <c r="H13" s="506"/>
      <c r="I13" s="507"/>
      <c r="J13" s="15"/>
      <c r="K13" s="28" t="s">
        <v>112</v>
      </c>
      <c r="L13" s="173"/>
      <c r="M13" s="173"/>
      <c r="N13" s="174"/>
      <c r="O13" s="16"/>
    </row>
    <row r="14" spans="1:42" ht="22.25" customHeight="1" x14ac:dyDescent="0.2">
      <c r="A14" s="14"/>
      <c r="B14" s="505"/>
      <c r="C14" s="506"/>
      <c r="D14" s="506"/>
      <c r="E14" s="506"/>
      <c r="F14" s="506"/>
      <c r="G14" s="506"/>
      <c r="H14" s="506"/>
      <c r="I14" s="507"/>
      <c r="J14" s="15"/>
      <c r="K14" s="28" t="s">
        <v>113</v>
      </c>
      <c r="L14" s="173"/>
      <c r="M14" s="173"/>
      <c r="N14" s="174"/>
      <c r="O14" s="16"/>
    </row>
    <row r="15" spans="1:42" ht="22.25" customHeight="1" x14ac:dyDescent="0.2">
      <c r="A15" s="14"/>
      <c r="B15" s="505"/>
      <c r="C15" s="506"/>
      <c r="D15" s="506"/>
      <c r="E15" s="506"/>
      <c r="F15" s="506"/>
      <c r="G15" s="506"/>
      <c r="H15" s="506"/>
      <c r="I15" s="507"/>
      <c r="J15" s="15"/>
      <c r="K15" s="28" t="s">
        <v>114</v>
      </c>
      <c r="L15" s="173"/>
      <c r="M15" s="173"/>
      <c r="N15" s="174"/>
      <c r="O15" s="16"/>
    </row>
    <row r="16" spans="1:42" ht="22.25" customHeight="1" x14ac:dyDescent="0.2">
      <c r="A16" s="14"/>
      <c r="B16" s="505"/>
      <c r="C16" s="506"/>
      <c r="D16" s="506"/>
      <c r="E16" s="506"/>
      <c r="F16" s="506"/>
      <c r="G16" s="506"/>
      <c r="H16" s="506"/>
      <c r="I16" s="507"/>
      <c r="J16" s="15"/>
      <c r="K16" s="28" t="s">
        <v>115</v>
      </c>
      <c r="L16" s="173"/>
      <c r="M16" s="173"/>
      <c r="N16" s="174"/>
      <c r="O16" s="16"/>
    </row>
    <row r="17" spans="1:42" ht="22.25" customHeight="1" x14ac:dyDescent="0.2">
      <c r="A17" s="14"/>
      <c r="B17" s="505"/>
      <c r="C17" s="506"/>
      <c r="D17" s="506"/>
      <c r="E17" s="506"/>
      <c r="F17" s="506"/>
      <c r="G17" s="506"/>
      <c r="H17" s="506"/>
      <c r="I17" s="507"/>
      <c r="J17" s="15"/>
      <c r="K17" s="28" t="s">
        <v>116</v>
      </c>
      <c r="L17" s="173"/>
      <c r="M17" s="173"/>
      <c r="N17" s="174"/>
      <c r="O17" s="16"/>
    </row>
    <row r="18" spans="1:42" ht="22.25" customHeight="1" x14ac:dyDescent="0.2">
      <c r="A18" s="14"/>
      <c r="B18" s="505"/>
      <c r="C18" s="506"/>
      <c r="D18" s="506"/>
      <c r="E18" s="506"/>
      <c r="F18" s="506"/>
      <c r="G18" s="506"/>
      <c r="H18" s="506"/>
      <c r="I18" s="507"/>
      <c r="J18" s="15"/>
      <c r="K18" s="28" t="s">
        <v>117</v>
      </c>
      <c r="L18" s="173"/>
      <c r="M18" s="173"/>
      <c r="N18" s="174"/>
      <c r="O18" s="16"/>
    </row>
    <row r="19" spans="1:42" ht="22.25" customHeight="1" x14ac:dyDescent="0.2">
      <c r="A19" s="14"/>
      <c r="B19" s="505"/>
      <c r="C19" s="506"/>
      <c r="D19" s="506"/>
      <c r="E19" s="506"/>
      <c r="F19" s="506"/>
      <c r="G19" s="506"/>
      <c r="H19" s="506"/>
      <c r="I19" s="507"/>
      <c r="J19" s="15"/>
      <c r="K19" s="28" t="s">
        <v>118</v>
      </c>
      <c r="L19" s="173"/>
      <c r="M19" s="173"/>
      <c r="N19" s="174"/>
      <c r="O19" s="16"/>
    </row>
    <row r="20" spans="1:42" ht="22.25" customHeight="1" x14ac:dyDescent="0.2">
      <c r="A20" s="14"/>
      <c r="B20" s="505"/>
      <c r="C20" s="506"/>
      <c r="D20" s="506"/>
      <c r="E20" s="506"/>
      <c r="F20" s="506"/>
      <c r="G20" s="506"/>
      <c r="H20" s="506"/>
      <c r="I20" s="507"/>
      <c r="J20" s="15"/>
      <c r="K20" s="28" t="s">
        <v>119</v>
      </c>
      <c r="L20" s="173"/>
      <c r="M20" s="173"/>
      <c r="N20" s="174"/>
      <c r="O20" s="16"/>
    </row>
    <row r="21" spans="1:42" ht="22.25" customHeight="1" x14ac:dyDescent="0.2">
      <c r="A21" s="14"/>
      <c r="B21" s="505"/>
      <c r="C21" s="506"/>
      <c r="D21" s="506"/>
      <c r="E21" s="506"/>
      <c r="F21" s="506"/>
      <c r="G21" s="506"/>
      <c r="H21" s="506"/>
      <c r="I21" s="507"/>
      <c r="J21" s="15"/>
      <c r="K21" s="28" t="s">
        <v>120</v>
      </c>
      <c r="L21" s="173"/>
      <c r="M21" s="173"/>
      <c r="N21" s="174"/>
      <c r="O21" s="16"/>
    </row>
    <row r="22" spans="1:42" ht="22.25" customHeight="1" x14ac:dyDescent="0.2">
      <c r="A22" s="14"/>
      <c r="B22" s="505"/>
      <c r="C22" s="506"/>
      <c r="D22" s="506"/>
      <c r="E22" s="506"/>
      <c r="F22" s="506"/>
      <c r="G22" s="506"/>
      <c r="H22" s="506"/>
      <c r="I22" s="507"/>
      <c r="J22" s="15"/>
      <c r="K22" s="28" t="s">
        <v>121</v>
      </c>
      <c r="L22" s="173"/>
      <c r="M22" s="173"/>
      <c r="N22" s="174"/>
      <c r="O22" s="16"/>
    </row>
    <row r="23" spans="1:42" ht="22.25" customHeight="1" x14ac:dyDescent="0.2">
      <c r="A23" s="14"/>
      <c r="B23" s="505"/>
      <c r="C23" s="506"/>
      <c r="D23" s="506"/>
      <c r="E23" s="506"/>
      <c r="F23" s="506"/>
      <c r="G23" s="506"/>
      <c r="H23" s="506"/>
      <c r="I23" s="507"/>
      <c r="J23" s="15"/>
      <c r="K23" s="28" t="s">
        <v>122</v>
      </c>
      <c r="L23" s="173"/>
      <c r="M23" s="173"/>
      <c r="N23" s="174"/>
      <c r="O23" s="16"/>
    </row>
    <row r="24" spans="1:42" ht="22.25" customHeight="1" x14ac:dyDescent="0.2">
      <c r="A24" s="14"/>
      <c r="B24" s="505"/>
      <c r="C24" s="506"/>
      <c r="D24" s="506"/>
      <c r="E24" s="506"/>
      <c r="F24" s="506"/>
      <c r="G24" s="506"/>
      <c r="H24" s="506"/>
      <c r="I24" s="507"/>
      <c r="J24" s="15"/>
      <c r="K24" s="28" t="s">
        <v>123</v>
      </c>
      <c r="L24" s="173"/>
      <c r="M24" s="173"/>
      <c r="N24" s="174"/>
      <c r="O24" s="16"/>
    </row>
    <row r="25" spans="1:42" ht="22.25" customHeight="1" x14ac:dyDescent="0.2">
      <c r="A25" s="14"/>
      <c r="B25" s="505"/>
      <c r="C25" s="506"/>
      <c r="D25" s="506"/>
      <c r="E25" s="506"/>
      <c r="F25" s="506"/>
      <c r="G25" s="506"/>
      <c r="H25" s="506"/>
      <c r="I25" s="507"/>
      <c r="J25" s="15"/>
      <c r="K25" s="28" t="s">
        <v>124</v>
      </c>
      <c r="L25" s="173"/>
      <c r="M25" s="173"/>
      <c r="N25" s="174"/>
      <c r="O25" s="16"/>
    </row>
    <row r="26" spans="1:42" ht="22.25" customHeight="1" thickBot="1" x14ac:dyDescent="0.25">
      <c r="A26" s="14"/>
      <c r="B26" s="508"/>
      <c r="C26" s="509"/>
      <c r="D26" s="509"/>
      <c r="E26" s="509"/>
      <c r="F26" s="509"/>
      <c r="G26" s="509"/>
      <c r="H26" s="509"/>
      <c r="I26" s="510"/>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497" t="s">
        <v>134</v>
      </c>
      <c r="C28" s="498"/>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499" t="s">
        <v>137</v>
      </c>
      <c r="C29" s="500"/>
      <c r="D29" s="500"/>
      <c r="E29" s="500"/>
      <c r="F29" s="500"/>
      <c r="G29" s="500"/>
      <c r="H29" s="500"/>
      <c r="I29" s="501"/>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02"/>
      <c r="C30" s="503"/>
      <c r="D30" s="503"/>
      <c r="E30" s="503"/>
      <c r="F30" s="503"/>
      <c r="G30" s="503"/>
      <c r="H30" s="503"/>
      <c r="I30" s="504"/>
      <c r="J30" s="15"/>
      <c r="K30" s="515" t="s">
        <v>97</v>
      </c>
      <c r="L30" s="516"/>
      <c r="M30" s="519"/>
      <c r="N30" s="520"/>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05"/>
      <c r="C31" s="506"/>
      <c r="D31" s="506"/>
      <c r="E31" s="506"/>
      <c r="F31" s="506"/>
      <c r="G31" s="506"/>
      <c r="H31" s="506"/>
      <c r="I31" s="507"/>
      <c r="J31" s="15"/>
      <c r="K31" s="517"/>
      <c r="L31" s="518"/>
      <c r="M31" s="521"/>
      <c r="N31" s="522"/>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05"/>
      <c r="C32" s="506"/>
      <c r="D32" s="506"/>
      <c r="E32" s="506"/>
      <c r="F32" s="506"/>
      <c r="G32" s="506"/>
      <c r="H32" s="506"/>
      <c r="I32" s="507"/>
      <c r="J32" s="15"/>
      <c r="K32" s="517" t="s">
        <v>98</v>
      </c>
      <c r="L32" s="518"/>
      <c r="M32" s="521"/>
      <c r="N32" s="522"/>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05"/>
      <c r="C33" s="506"/>
      <c r="D33" s="506"/>
      <c r="E33" s="506"/>
      <c r="F33" s="506"/>
      <c r="G33" s="506"/>
      <c r="H33" s="506"/>
      <c r="I33" s="507"/>
      <c r="J33" s="15"/>
      <c r="K33" s="517"/>
      <c r="L33" s="518"/>
      <c r="M33" s="521"/>
      <c r="N33" s="522"/>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08"/>
      <c r="C34" s="509"/>
      <c r="D34" s="509"/>
      <c r="E34" s="509"/>
      <c r="F34" s="509"/>
      <c r="G34" s="509"/>
      <c r="H34" s="509"/>
      <c r="I34" s="510"/>
      <c r="J34" s="15"/>
      <c r="K34" s="511" t="s">
        <v>10</v>
      </c>
      <c r="L34" s="512"/>
      <c r="M34" s="513"/>
      <c r="N34" s="51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497" t="s">
        <v>223</v>
      </c>
      <c r="C36" s="498"/>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499" t="s">
        <v>231</v>
      </c>
      <c r="C37" s="500"/>
      <c r="D37" s="500"/>
      <c r="E37" s="500"/>
      <c r="F37" s="500"/>
      <c r="G37" s="500"/>
      <c r="H37" s="500"/>
      <c r="I37" s="501"/>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02"/>
      <c r="C38" s="503"/>
      <c r="D38" s="503"/>
      <c r="E38" s="503"/>
      <c r="F38" s="503"/>
      <c r="G38" s="503"/>
      <c r="H38" s="503"/>
      <c r="I38" s="504"/>
      <c r="J38" s="15"/>
      <c r="K38" s="515" t="s">
        <v>97</v>
      </c>
      <c r="L38" s="516"/>
      <c r="M38" s="519"/>
      <c r="N38" s="520"/>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05"/>
      <c r="C39" s="506"/>
      <c r="D39" s="506"/>
      <c r="E39" s="506"/>
      <c r="F39" s="506"/>
      <c r="G39" s="506"/>
      <c r="H39" s="506"/>
      <c r="I39" s="507"/>
      <c r="J39" s="15"/>
      <c r="K39" s="517"/>
      <c r="L39" s="518"/>
      <c r="M39" s="521"/>
      <c r="N39" s="522"/>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05"/>
      <c r="C40" s="506"/>
      <c r="D40" s="506"/>
      <c r="E40" s="506"/>
      <c r="F40" s="506"/>
      <c r="G40" s="506"/>
      <c r="H40" s="506"/>
      <c r="I40" s="507"/>
      <c r="J40" s="15"/>
      <c r="K40" s="517" t="s">
        <v>157</v>
      </c>
      <c r="L40" s="518"/>
      <c r="M40" s="521"/>
      <c r="N40" s="522"/>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05"/>
      <c r="C41" s="506"/>
      <c r="D41" s="506"/>
      <c r="E41" s="506"/>
      <c r="F41" s="506"/>
      <c r="G41" s="506"/>
      <c r="H41" s="506"/>
      <c r="I41" s="507"/>
      <c r="J41" s="15"/>
      <c r="K41" s="517"/>
      <c r="L41" s="518"/>
      <c r="M41" s="521"/>
      <c r="N41" s="522"/>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05"/>
      <c r="C42" s="506"/>
      <c r="D42" s="506"/>
      <c r="E42" s="506"/>
      <c r="F42" s="506"/>
      <c r="G42" s="506"/>
      <c r="H42" s="506"/>
      <c r="I42" s="507"/>
      <c r="J42" s="15"/>
      <c r="K42" s="523" t="s">
        <v>10</v>
      </c>
      <c r="L42" s="524"/>
      <c r="M42" s="525"/>
      <c r="N42" s="526"/>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05"/>
      <c r="C43" s="506"/>
      <c r="D43" s="509"/>
      <c r="E43" s="509"/>
      <c r="F43" s="509"/>
      <c r="G43" s="509"/>
      <c r="H43" s="509"/>
      <c r="I43" s="510"/>
      <c r="J43" s="15"/>
      <c r="K43" s="511" t="s">
        <v>260</v>
      </c>
      <c r="L43" s="512"/>
      <c r="M43" s="513"/>
      <c r="N43" s="51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497" t="s">
        <v>223</v>
      </c>
      <c r="C46" s="498"/>
      <c r="D46" s="24"/>
      <c r="E46" s="24"/>
      <c r="F46" s="24"/>
      <c r="G46" s="24"/>
      <c r="H46" s="24"/>
      <c r="I46" s="15"/>
      <c r="J46" s="15"/>
      <c r="K46" s="15"/>
      <c r="L46" s="24"/>
      <c r="M46" s="24"/>
      <c r="N46" s="24"/>
      <c r="O46" s="16"/>
    </row>
    <row r="47" spans="1:42" ht="51" customHeight="1" thickBot="1" x14ac:dyDescent="0.25">
      <c r="A47" s="14"/>
      <c r="B47" s="499" t="s">
        <v>230</v>
      </c>
      <c r="C47" s="500"/>
      <c r="D47" s="500"/>
      <c r="E47" s="500"/>
      <c r="F47" s="500"/>
      <c r="G47" s="500"/>
      <c r="H47" s="500"/>
      <c r="I47" s="501"/>
      <c r="J47" s="15"/>
      <c r="K47" s="15"/>
      <c r="L47" s="24"/>
      <c r="M47" s="24"/>
      <c r="N47" s="24"/>
      <c r="O47" s="16"/>
    </row>
    <row r="48" spans="1:42" ht="22.25" customHeight="1" x14ac:dyDescent="0.2">
      <c r="A48" s="14"/>
      <c r="B48" s="502"/>
      <c r="C48" s="503"/>
      <c r="D48" s="503"/>
      <c r="E48" s="503"/>
      <c r="F48" s="503"/>
      <c r="G48" s="503"/>
      <c r="H48" s="503"/>
      <c r="I48" s="504"/>
      <c r="J48" s="15"/>
      <c r="K48" s="515" t="s">
        <v>97</v>
      </c>
      <c r="L48" s="516"/>
      <c r="M48" s="519"/>
      <c r="N48" s="520"/>
      <c r="O48" s="16"/>
    </row>
    <row r="49" spans="1:15" ht="22.25" customHeight="1" x14ac:dyDescent="0.2">
      <c r="A49" s="14"/>
      <c r="B49" s="505"/>
      <c r="C49" s="506"/>
      <c r="D49" s="506"/>
      <c r="E49" s="506"/>
      <c r="F49" s="506"/>
      <c r="G49" s="506"/>
      <c r="H49" s="506"/>
      <c r="I49" s="507"/>
      <c r="J49" s="15"/>
      <c r="K49" s="517"/>
      <c r="L49" s="518"/>
      <c r="M49" s="521"/>
      <c r="N49" s="522"/>
      <c r="O49" s="16"/>
    </row>
    <row r="50" spans="1:15" ht="22.25" customHeight="1" x14ac:dyDescent="0.2">
      <c r="A50" s="14"/>
      <c r="B50" s="505"/>
      <c r="C50" s="506"/>
      <c r="D50" s="506"/>
      <c r="E50" s="506"/>
      <c r="F50" s="506"/>
      <c r="G50" s="506"/>
      <c r="H50" s="506"/>
      <c r="I50" s="507"/>
      <c r="J50" s="15"/>
      <c r="K50" s="517" t="s">
        <v>157</v>
      </c>
      <c r="L50" s="518"/>
      <c r="M50" s="521"/>
      <c r="N50" s="522"/>
      <c r="O50" s="16"/>
    </row>
    <row r="51" spans="1:15" ht="22.25" customHeight="1" x14ac:dyDescent="0.2">
      <c r="A51" s="14"/>
      <c r="B51" s="505"/>
      <c r="C51" s="506"/>
      <c r="D51" s="506"/>
      <c r="E51" s="506"/>
      <c r="F51" s="506"/>
      <c r="G51" s="506"/>
      <c r="H51" s="506"/>
      <c r="I51" s="507"/>
      <c r="J51" s="15"/>
      <c r="K51" s="517"/>
      <c r="L51" s="518"/>
      <c r="M51" s="521"/>
      <c r="N51" s="522"/>
      <c r="O51" s="16"/>
    </row>
    <row r="52" spans="1:15" ht="22.25" customHeight="1" x14ac:dyDescent="0.2">
      <c r="A52" s="14"/>
      <c r="B52" s="505"/>
      <c r="C52" s="506"/>
      <c r="D52" s="506"/>
      <c r="E52" s="506"/>
      <c r="F52" s="506"/>
      <c r="G52" s="506"/>
      <c r="H52" s="506"/>
      <c r="I52" s="507"/>
      <c r="J52" s="15"/>
      <c r="K52" s="523" t="s">
        <v>10</v>
      </c>
      <c r="L52" s="524"/>
      <c r="M52" s="525"/>
      <c r="N52" s="526"/>
      <c r="O52" s="16"/>
    </row>
    <row r="53" spans="1:15" ht="22.25" customHeight="1" thickBot="1" x14ac:dyDescent="0.25">
      <c r="A53" s="14"/>
      <c r="B53" s="508"/>
      <c r="C53" s="509"/>
      <c r="D53" s="509"/>
      <c r="E53" s="509"/>
      <c r="F53" s="509"/>
      <c r="G53" s="509"/>
      <c r="H53" s="509"/>
      <c r="I53" s="510"/>
      <c r="J53" s="15"/>
      <c r="K53" s="511" t="s">
        <v>259</v>
      </c>
      <c r="L53" s="512"/>
      <c r="M53" s="513"/>
      <c r="N53" s="51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497" t="s">
        <v>135</v>
      </c>
      <c r="C56" s="498"/>
      <c r="D56" s="24"/>
      <c r="E56" s="24"/>
      <c r="F56" s="24"/>
      <c r="G56" s="24"/>
      <c r="H56" s="24"/>
      <c r="I56" s="15"/>
      <c r="J56" s="15"/>
      <c r="K56" s="15"/>
      <c r="L56" s="24"/>
      <c r="M56" s="24"/>
      <c r="N56" s="24"/>
      <c r="O56" s="16"/>
    </row>
    <row r="57" spans="1:15" ht="36" customHeight="1" thickBot="1" x14ac:dyDescent="0.25">
      <c r="A57" s="14"/>
      <c r="B57" s="499" t="s">
        <v>156</v>
      </c>
      <c r="C57" s="500"/>
      <c r="D57" s="500"/>
      <c r="E57" s="500"/>
      <c r="F57" s="500"/>
      <c r="G57" s="500"/>
      <c r="H57" s="500"/>
      <c r="I57" s="501"/>
      <c r="J57" s="15"/>
      <c r="K57" s="15"/>
      <c r="L57" s="24"/>
      <c r="M57" s="24"/>
      <c r="N57" s="24"/>
      <c r="O57" s="16"/>
    </row>
    <row r="58" spans="1:15" ht="22.25" customHeight="1" x14ac:dyDescent="0.2">
      <c r="A58" s="14"/>
      <c r="B58" s="502"/>
      <c r="C58" s="503"/>
      <c r="D58" s="503"/>
      <c r="E58" s="503"/>
      <c r="F58" s="503"/>
      <c r="G58" s="503"/>
      <c r="H58" s="503"/>
      <c r="I58" s="504"/>
      <c r="J58" s="15"/>
      <c r="K58" s="515" t="s">
        <v>97</v>
      </c>
      <c r="L58" s="516"/>
      <c r="M58" s="519"/>
      <c r="N58" s="520"/>
      <c r="O58" s="16"/>
    </row>
    <row r="59" spans="1:15" ht="22.25" customHeight="1" x14ac:dyDescent="0.2">
      <c r="A59" s="14"/>
      <c r="B59" s="505"/>
      <c r="C59" s="506"/>
      <c r="D59" s="506"/>
      <c r="E59" s="506"/>
      <c r="F59" s="506"/>
      <c r="G59" s="506"/>
      <c r="H59" s="506"/>
      <c r="I59" s="507"/>
      <c r="J59" s="15"/>
      <c r="K59" s="517"/>
      <c r="L59" s="518"/>
      <c r="M59" s="521"/>
      <c r="N59" s="522"/>
      <c r="O59" s="16"/>
    </row>
    <row r="60" spans="1:15" ht="22.25" customHeight="1" x14ac:dyDescent="0.2">
      <c r="A60" s="14"/>
      <c r="B60" s="505"/>
      <c r="C60" s="506"/>
      <c r="D60" s="506"/>
      <c r="E60" s="506"/>
      <c r="F60" s="506"/>
      <c r="G60" s="506"/>
      <c r="H60" s="506"/>
      <c r="I60" s="507"/>
      <c r="J60" s="15"/>
      <c r="K60" s="517" t="s">
        <v>158</v>
      </c>
      <c r="L60" s="518"/>
      <c r="M60" s="521"/>
      <c r="N60" s="522"/>
      <c r="O60" s="16"/>
    </row>
    <row r="61" spans="1:15" ht="22.25" customHeight="1" x14ac:dyDescent="0.2">
      <c r="A61" s="14"/>
      <c r="B61" s="505"/>
      <c r="C61" s="506"/>
      <c r="D61" s="506"/>
      <c r="E61" s="506"/>
      <c r="F61" s="506"/>
      <c r="G61" s="506"/>
      <c r="H61" s="506"/>
      <c r="I61" s="507"/>
      <c r="J61" s="15"/>
      <c r="K61" s="517"/>
      <c r="L61" s="518"/>
      <c r="M61" s="521"/>
      <c r="N61" s="522"/>
      <c r="O61" s="16"/>
    </row>
    <row r="62" spans="1:15" ht="22.25" customHeight="1" thickBot="1" x14ac:dyDescent="0.25">
      <c r="A62" s="14"/>
      <c r="B62" s="508"/>
      <c r="C62" s="509"/>
      <c r="D62" s="509"/>
      <c r="E62" s="509"/>
      <c r="F62" s="509"/>
      <c r="G62" s="509"/>
      <c r="H62" s="509"/>
      <c r="I62" s="510"/>
      <c r="J62" s="15"/>
      <c r="K62" s="511" t="s">
        <v>10</v>
      </c>
      <c r="L62" s="512"/>
      <c r="M62" s="513"/>
      <c r="N62" s="51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from Word" prompt="To allow some splitting of text copy and paste paragraphs from Word._x000a_Double click to enable pasting." sqref="B58:I62 B48:I53 B38:I43 B30:I34" xr:uid="{00000000-0002-0000-1C00-000000000000}"/>
    <dataValidation type="date" operator="greaterThan" allowBlank="1" showInputMessage="1" showErrorMessage="1" promptTitle="Date" prompt="Please enter the date in the format dd mmm yyy" sqref="M34:N34 M42:N43 M52:N53 M62:N62" xr:uid="{00000000-0002-0000-1C00-000001000000}">
      <formula1>43607</formula1>
    </dataValidation>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1C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09D5B3D2-A6D9-4CE9-8542-CC67F0BBF278}">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4121939D-6AC2-4D7D-B8EB-923AA13F080E}">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E395D4B2-6963-47F6-A3B9-31CF9D61F84F}">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B5B15CA8-E9BD-4092-9218-33450B02333A}">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12411F64-197A-4AEB-A426-7DC077E2A64A}">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483879E5-18C7-4A61-AD99-1E89D7BB6492}">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32824F83-F5F3-4FC6-9884-A579AE36BFFE}">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B7D23AB8-0694-4C44-8543-3549406BC252}">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794B49BA-AED6-479E-8892-73575BCDDE1B}">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11162353-F7BD-42AB-B82E-F41A8F81901D}">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40AEF0B8-D7EC-48E6-85F4-23613B543AAB}">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A55E1D1F-A8CE-4461-B1F0-CF94E23D69AF}">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09645CB3-F1FC-4C37-B2EF-FE36FD4D913F}">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6CA6A3DE-571B-44DF-8A01-07F1DA25B535}">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F23DDBDE-1E70-4B15-88F0-276B172B4E8D}">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3A8E588B-7BBA-49BF-B776-B76CD696B9C9}">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D6B7E71F-AA10-434B-BB3D-0A0C3139C3C4}">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E4ABCC74-3FF8-4741-90EF-C86FC65BDBFF}">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17E9EDB4-7508-4796-8448-CE727883469C}">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3781315A-CC90-46A1-927A-87C10FB86259}">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Work Location(s)" prompt="Please select the MAIN work location(s) you have been based at during this period._x000a__x000a_N.B. Warwick University is JLR Research at Warwick" xr:uid="{00000000-0002-0000-1C00-000003000000}">
          <x14:formula1>
            <xm:f>'Drop Down Lists'!$G$2:$G$21</xm:f>
          </x14:formula1>
          <xm:sqref>K5:N6</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1C00-000004000000}">
          <x14:formula1>
            <xm:f>'Drop Down Lists'!$A$22:$A$26</xm:f>
          </x14:formula1>
          <xm:sqref>N10:N26</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1C00-000005000000}">
          <x14:formula1>
            <xm:f>'Drop Down Lists'!$A$2:$A$3</xm:f>
          </x14:formula1>
          <xm:sqref>I44 I54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1C00-000006000000}">
          <x14:formula1>
            <xm:f>'Drop Down Lists'!$A$2:$A$3</xm:f>
          </x14:formula1>
          <xm:sqref>E44 E54</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1C00-000007000000}">
          <x14:formula1>
            <xm:f>'Drop Down Lists'!$A$2:$A$3</xm:f>
          </x14:formula1>
          <xm:sqref>C44 C54</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1C00-000008000000}">
          <x14:formula1>
            <xm:f>'Drop Down Lists'!$A$22:$A$26</xm:f>
          </x14:formula1>
          <xm:sqref>M10:M26</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1C00-000009000000}">
          <x14:formula1>
            <xm:f>'Drop Down Lists'!$A$22:$A$26</xm:f>
          </x14:formula1>
          <xm:sqref>L10:L26</xm:sqref>
        </x14:dataValidation>
        <x14:dataValidation type="list" allowBlank="1" showInputMessage="1" showErrorMessage="1" promptTitle="Attendance" prompt="Attendance &amp; Engagement with the programme:_x000a_Excellent (90-100%)_x000a_Satisfactory (80-90%)_x000a_Concerning (&lt;80%)" xr:uid="{00000000-0002-0000-1C00-00000A000000}">
          <x14:formula1>
            <xm:f>'Drop Down Lists'!$A$38:$A$40</xm:f>
          </x14:formula1>
          <xm:sqref>G54 G44</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pageSetUpPr fitToPage="1"/>
  </sheetPr>
  <dimension ref="A1:AP168"/>
  <sheetViews>
    <sheetView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Y6 R4</v>
      </c>
      <c r="B1" s="19"/>
      <c r="C1" s="19"/>
      <c r="D1" s="19"/>
      <c r="E1" s="19"/>
      <c r="F1" s="19"/>
      <c r="G1" s="19"/>
      <c r="H1" s="19"/>
      <c r="I1" s="19"/>
      <c r="J1" s="19"/>
      <c r="K1" s="223"/>
      <c r="L1" s="529" t="s">
        <v>256</v>
      </c>
      <c r="M1" s="529"/>
      <c r="N1" s="318">
        <f ca="1">TODAY()</f>
        <v>43969</v>
      </c>
      <c r="O1" s="20"/>
    </row>
    <row r="2" spans="1:42" ht="35" x14ac:dyDescent="0.35">
      <c r="A2" s="14"/>
      <c r="B2" s="465" t="s">
        <v>333</v>
      </c>
      <c r="C2" s="465"/>
      <c r="D2" s="465"/>
      <c r="E2" s="465"/>
      <c r="F2" s="465"/>
      <c r="G2" s="465"/>
      <c r="H2" s="465"/>
      <c r="I2" s="465"/>
      <c r="J2" s="465"/>
      <c r="K2" s="465"/>
      <c r="L2" s="465"/>
      <c r="M2" s="465"/>
      <c r="N2" s="465"/>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36" t="s">
        <v>254</v>
      </c>
      <c r="L4" s="537"/>
      <c r="M4" s="537"/>
      <c r="N4" s="53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19" t="s">
        <v>211</v>
      </c>
      <c r="C5" s="421"/>
      <c r="D5" s="530" t="str">
        <f>'Front Sheet'!C5:C6</f>
        <v>Philip</v>
      </c>
      <c r="E5" s="532" t="str">
        <f>'Front Sheet'!D5:D6</f>
        <v>McGaw</v>
      </c>
      <c r="F5" s="534" t="str">
        <f>'Front Sheet'!G2</f>
        <v>pmcgaw</v>
      </c>
      <c r="G5" s="119">
        <f>'Front Sheet'!J5</f>
        <v>83137730</v>
      </c>
      <c r="H5" s="15"/>
      <c r="I5" s="25"/>
      <c r="J5" s="15"/>
      <c r="K5" s="539"/>
      <c r="L5" s="540"/>
      <c r="M5" s="540"/>
      <c r="N5" s="541"/>
      <c r="O5" s="16"/>
    </row>
    <row r="6" spans="1:42" ht="18" customHeight="1" thickBot="1" x14ac:dyDescent="0.25">
      <c r="A6" s="14"/>
      <c r="B6" s="422"/>
      <c r="C6" s="424"/>
      <c r="D6" s="531"/>
      <c r="E6" s="533"/>
      <c r="F6" s="535"/>
      <c r="G6" s="120">
        <f>'Front Sheet'!J6</f>
        <v>0</v>
      </c>
      <c r="H6" s="15"/>
      <c r="I6" s="25"/>
      <c r="J6" s="15"/>
      <c r="K6" s="542"/>
      <c r="L6" s="543"/>
      <c r="M6" s="543"/>
      <c r="N6" s="544"/>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499" t="s">
        <v>232</v>
      </c>
      <c r="C9" s="527"/>
      <c r="D9" s="527"/>
      <c r="E9" s="527"/>
      <c r="F9" s="527"/>
      <c r="G9" s="527"/>
      <c r="H9" s="527"/>
      <c r="I9" s="528"/>
      <c r="J9" s="15"/>
      <c r="K9" s="26" t="s">
        <v>136</v>
      </c>
      <c r="L9" s="89" t="s">
        <v>126</v>
      </c>
      <c r="M9" s="89" t="s">
        <v>128</v>
      </c>
      <c r="N9" s="96" t="s">
        <v>127</v>
      </c>
      <c r="O9" s="16"/>
      <c r="P9" s="165"/>
      <c r="Q9" s="165"/>
      <c r="R9" s="165"/>
      <c r="S9" s="165"/>
      <c r="T9" s="165"/>
    </row>
    <row r="10" spans="1:42" ht="22.25" customHeight="1" x14ac:dyDescent="0.2">
      <c r="A10" s="14"/>
      <c r="B10" s="502" t="s">
        <v>105</v>
      </c>
      <c r="C10" s="503"/>
      <c r="D10" s="503"/>
      <c r="E10" s="503"/>
      <c r="F10" s="503"/>
      <c r="G10" s="503"/>
      <c r="H10" s="503"/>
      <c r="I10" s="504"/>
      <c r="J10" s="15"/>
      <c r="K10" s="27" t="s">
        <v>109</v>
      </c>
      <c r="L10" s="170"/>
      <c r="M10" s="171"/>
      <c r="N10" s="172"/>
      <c r="O10" s="16"/>
    </row>
    <row r="11" spans="1:42" ht="22.25" customHeight="1" x14ac:dyDescent="0.2">
      <c r="A11" s="14"/>
      <c r="B11" s="505"/>
      <c r="C11" s="506"/>
      <c r="D11" s="506"/>
      <c r="E11" s="506"/>
      <c r="F11" s="506"/>
      <c r="G11" s="506"/>
      <c r="H11" s="506"/>
      <c r="I11" s="507"/>
      <c r="J11" s="15"/>
      <c r="K11" s="28" t="s">
        <v>110</v>
      </c>
      <c r="L11" s="173"/>
      <c r="M11" s="173"/>
      <c r="N11" s="174"/>
      <c r="O11" s="16"/>
    </row>
    <row r="12" spans="1:42" ht="22.25" customHeight="1" x14ac:dyDescent="0.2">
      <c r="A12" s="14"/>
      <c r="B12" s="505"/>
      <c r="C12" s="506"/>
      <c r="D12" s="506"/>
      <c r="E12" s="506"/>
      <c r="F12" s="506"/>
      <c r="G12" s="506"/>
      <c r="H12" s="506"/>
      <c r="I12" s="507"/>
      <c r="J12" s="15"/>
      <c r="K12" s="28" t="s">
        <v>111</v>
      </c>
      <c r="L12" s="173"/>
      <c r="M12" s="173"/>
      <c r="N12" s="174"/>
      <c r="O12" s="16"/>
    </row>
    <row r="13" spans="1:42" ht="22.25" customHeight="1" x14ac:dyDescent="0.2">
      <c r="A13" s="14"/>
      <c r="B13" s="505"/>
      <c r="C13" s="506"/>
      <c r="D13" s="506"/>
      <c r="E13" s="506"/>
      <c r="F13" s="506"/>
      <c r="G13" s="506"/>
      <c r="H13" s="506"/>
      <c r="I13" s="507"/>
      <c r="J13" s="15"/>
      <c r="K13" s="28" t="s">
        <v>112</v>
      </c>
      <c r="L13" s="173"/>
      <c r="M13" s="173"/>
      <c r="N13" s="174"/>
      <c r="O13" s="16"/>
    </row>
    <row r="14" spans="1:42" ht="22.25" customHeight="1" x14ac:dyDescent="0.2">
      <c r="A14" s="14"/>
      <c r="B14" s="505"/>
      <c r="C14" s="506"/>
      <c r="D14" s="506"/>
      <c r="E14" s="506"/>
      <c r="F14" s="506"/>
      <c r="G14" s="506"/>
      <c r="H14" s="506"/>
      <c r="I14" s="507"/>
      <c r="J14" s="15"/>
      <c r="K14" s="28" t="s">
        <v>113</v>
      </c>
      <c r="L14" s="173"/>
      <c r="M14" s="173"/>
      <c r="N14" s="174"/>
      <c r="O14" s="16"/>
    </row>
    <row r="15" spans="1:42" ht="22.25" customHeight="1" x14ac:dyDescent="0.2">
      <c r="A15" s="14"/>
      <c r="B15" s="505"/>
      <c r="C15" s="506"/>
      <c r="D15" s="506"/>
      <c r="E15" s="506"/>
      <c r="F15" s="506"/>
      <c r="G15" s="506"/>
      <c r="H15" s="506"/>
      <c r="I15" s="507"/>
      <c r="J15" s="15"/>
      <c r="K15" s="28" t="s">
        <v>114</v>
      </c>
      <c r="L15" s="173"/>
      <c r="M15" s="173"/>
      <c r="N15" s="174"/>
      <c r="O15" s="16"/>
    </row>
    <row r="16" spans="1:42" ht="22.25" customHeight="1" x14ac:dyDescent="0.2">
      <c r="A16" s="14"/>
      <c r="B16" s="505"/>
      <c r="C16" s="506"/>
      <c r="D16" s="506"/>
      <c r="E16" s="506"/>
      <c r="F16" s="506"/>
      <c r="G16" s="506"/>
      <c r="H16" s="506"/>
      <c r="I16" s="507"/>
      <c r="J16" s="15"/>
      <c r="K16" s="28" t="s">
        <v>115</v>
      </c>
      <c r="L16" s="173"/>
      <c r="M16" s="173"/>
      <c r="N16" s="174"/>
      <c r="O16" s="16"/>
    </row>
    <row r="17" spans="1:42" ht="22.25" customHeight="1" x14ac:dyDescent="0.2">
      <c r="A17" s="14"/>
      <c r="B17" s="505"/>
      <c r="C17" s="506"/>
      <c r="D17" s="506"/>
      <c r="E17" s="506"/>
      <c r="F17" s="506"/>
      <c r="G17" s="506"/>
      <c r="H17" s="506"/>
      <c r="I17" s="507"/>
      <c r="J17" s="15"/>
      <c r="K17" s="28" t="s">
        <v>116</v>
      </c>
      <c r="L17" s="173"/>
      <c r="M17" s="173"/>
      <c r="N17" s="174"/>
      <c r="O17" s="16"/>
    </row>
    <row r="18" spans="1:42" ht="22.25" customHeight="1" x14ac:dyDescent="0.2">
      <c r="A18" s="14"/>
      <c r="B18" s="505"/>
      <c r="C18" s="506"/>
      <c r="D18" s="506"/>
      <c r="E18" s="506"/>
      <c r="F18" s="506"/>
      <c r="G18" s="506"/>
      <c r="H18" s="506"/>
      <c r="I18" s="507"/>
      <c r="J18" s="15"/>
      <c r="K18" s="28" t="s">
        <v>117</v>
      </c>
      <c r="L18" s="173"/>
      <c r="M18" s="173"/>
      <c r="N18" s="174"/>
      <c r="O18" s="16"/>
    </row>
    <row r="19" spans="1:42" ht="22.25" customHeight="1" x14ac:dyDescent="0.2">
      <c r="A19" s="14"/>
      <c r="B19" s="505"/>
      <c r="C19" s="506"/>
      <c r="D19" s="506"/>
      <c r="E19" s="506"/>
      <c r="F19" s="506"/>
      <c r="G19" s="506"/>
      <c r="H19" s="506"/>
      <c r="I19" s="507"/>
      <c r="J19" s="15"/>
      <c r="K19" s="28" t="s">
        <v>118</v>
      </c>
      <c r="L19" s="173"/>
      <c r="M19" s="173"/>
      <c r="N19" s="174"/>
      <c r="O19" s="16"/>
    </row>
    <row r="20" spans="1:42" ht="22.25" customHeight="1" x14ac:dyDescent="0.2">
      <c r="A20" s="14"/>
      <c r="B20" s="505"/>
      <c r="C20" s="506"/>
      <c r="D20" s="506"/>
      <c r="E20" s="506"/>
      <c r="F20" s="506"/>
      <c r="G20" s="506"/>
      <c r="H20" s="506"/>
      <c r="I20" s="507"/>
      <c r="J20" s="15"/>
      <c r="K20" s="28" t="s">
        <v>119</v>
      </c>
      <c r="L20" s="173"/>
      <c r="M20" s="173"/>
      <c r="N20" s="174"/>
      <c r="O20" s="16"/>
    </row>
    <row r="21" spans="1:42" ht="22.25" customHeight="1" x14ac:dyDescent="0.2">
      <c r="A21" s="14"/>
      <c r="B21" s="505"/>
      <c r="C21" s="506"/>
      <c r="D21" s="506"/>
      <c r="E21" s="506"/>
      <c r="F21" s="506"/>
      <c r="G21" s="506"/>
      <c r="H21" s="506"/>
      <c r="I21" s="507"/>
      <c r="J21" s="15"/>
      <c r="K21" s="28" t="s">
        <v>120</v>
      </c>
      <c r="L21" s="173"/>
      <c r="M21" s="173"/>
      <c r="N21" s="174"/>
      <c r="O21" s="16"/>
    </row>
    <row r="22" spans="1:42" ht="22.25" customHeight="1" x14ac:dyDescent="0.2">
      <c r="A22" s="14"/>
      <c r="B22" s="505"/>
      <c r="C22" s="506"/>
      <c r="D22" s="506"/>
      <c r="E22" s="506"/>
      <c r="F22" s="506"/>
      <c r="G22" s="506"/>
      <c r="H22" s="506"/>
      <c r="I22" s="507"/>
      <c r="J22" s="15"/>
      <c r="K22" s="28" t="s">
        <v>121</v>
      </c>
      <c r="L22" s="173"/>
      <c r="M22" s="173"/>
      <c r="N22" s="174"/>
      <c r="O22" s="16"/>
    </row>
    <row r="23" spans="1:42" ht="22.25" customHeight="1" x14ac:dyDescent="0.2">
      <c r="A23" s="14"/>
      <c r="B23" s="505"/>
      <c r="C23" s="506"/>
      <c r="D23" s="506"/>
      <c r="E23" s="506"/>
      <c r="F23" s="506"/>
      <c r="G23" s="506"/>
      <c r="H23" s="506"/>
      <c r="I23" s="507"/>
      <c r="J23" s="15"/>
      <c r="K23" s="28" t="s">
        <v>122</v>
      </c>
      <c r="L23" s="173"/>
      <c r="M23" s="173"/>
      <c r="N23" s="174"/>
      <c r="O23" s="16"/>
    </row>
    <row r="24" spans="1:42" ht="22.25" customHeight="1" x14ac:dyDescent="0.2">
      <c r="A24" s="14"/>
      <c r="B24" s="505"/>
      <c r="C24" s="506"/>
      <c r="D24" s="506"/>
      <c r="E24" s="506"/>
      <c r="F24" s="506"/>
      <c r="G24" s="506"/>
      <c r="H24" s="506"/>
      <c r="I24" s="507"/>
      <c r="J24" s="15"/>
      <c r="K24" s="28" t="s">
        <v>123</v>
      </c>
      <c r="L24" s="173"/>
      <c r="M24" s="173"/>
      <c r="N24" s="174"/>
      <c r="O24" s="16"/>
    </row>
    <row r="25" spans="1:42" ht="22.25" customHeight="1" x14ac:dyDescent="0.2">
      <c r="A25" s="14"/>
      <c r="B25" s="505"/>
      <c r="C25" s="506"/>
      <c r="D25" s="506"/>
      <c r="E25" s="506"/>
      <c r="F25" s="506"/>
      <c r="G25" s="506"/>
      <c r="H25" s="506"/>
      <c r="I25" s="507"/>
      <c r="J25" s="15"/>
      <c r="K25" s="28" t="s">
        <v>124</v>
      </c>
      <c r="L25" s="173"/>
      <c r="M25" s="173"/>
      <c r="N25" s="174"/>
      <c r="O25" s="16"/>
    </row>
    <row r="26" spans="1:42" ht="22.25" customHeight="1" thickBot="1" x14ac:dyDescent="0.25">
      <c r="A26" s="14"/>
      <c r="B26" s="508"/>
      <c r="C26" s="509"/>
      <c r="D26" s="509"/>
      <c r="E26" s="509"/>
      <c r="F26" s="509"/>
      <c r="G26" s="509"/>
      <c r="H26" s="509"/>
      <c r="I26" s="510"/>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497" t="s">
        <v>134</v>
      </c>
      <c r="C28" s="498"/>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499" t="s">
        <v>137</v>
      </c>
      <c r="C29" s="500"/>
      <c r="D29" s="500"/>
      <c r="E29" s="500"/>
      <c r="F29" s="500"/>
      <c r="G29" s="500"/>
      <c r="H29" s="500"/>
      <c r="I29" s="501"/>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02"/>
      <c r="C30" s="503"/>
      <c r="D30" s="503"/>
      <c r="E30" s="503"/>
      <c r="F30" s="503"/>
      <c r="G30" s="503"/>
      <c r="H30" s="503"/>
      <c r="I30" s="504"/>
      <c r="J30" s="15"/>
      <c r="K30" s="515" t="s">
        <v>97</v>
      </c>
      <c r="L30" s="516"/>
      <c r="M30" s="519"/>
      <c r="N30" s="520"/>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05"/>
      <c r="C31" s="506"/>
      <c r="D31" s="506"/>
      <c r="E31" s="506"/>
      <c r="F31" s="506"/>
      <c r="G31" s="506"/>
      <c r="H31" s="506"/>
      <c r="I31" s="507"/>
      <c r="J31" s="15"/>
      <c r="K31" s="517"/>
      <c r="L31" s="518"/>
      <c r="M31" s="521"/>
      <c r="N31" s="522"/>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05"/>
      <c r="C32" s="506"/>
      <c r="D32" s="506"/>
      <c r="E32" s="506"/>
      <c r="F32" s="506"/>
      <c r="G32" s="506"/>
      <c r="H32" s="506"/>
      <c r="I32" s="507"/>
      <c r="J32" s="15"/>
      <c r="K32" s="517" t="s">
        <v>98</v>
      </c>
      <c r="L32" s="518"/>
      <c r="M32" s="521"/>
      <c r="N32" s="522"/>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05"/>
      <c r="C33" s="506"/>
      <c r="D33" s="506"/>
      <c r="E33" s="506"/>
      <c r="F33" s="506"/>
      <c r="G33" s="506"/>
      <c r="H33" s="506"/>
      <c r="I33" s="507"/>
      <c r="J33" s="15"/>
      <c r="K33" s="517"/>
      <c r="L33" s="518"/>
      <c r="M33" s="521"/>
      <c r="N33" s="522"/>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08"/>
      <c r="C34" s="509"/>
      <c r="D34" s="509"/>
      <c r="E34" s="509"/>
      <c r="F34" s="509"/>
      <c r="G34" s="509"/>
      <c r="H34" s="509"/>
      <c r="I34" s="510"/>
      <c r="J34" s="15"/>
      <c r="K34" s="511" t="s">
        <v>10</v>
      </c>
      <c r="L34" s="512"/>
      <c r="M34" s="513"/>
      <c r="N34" s="51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497" t="s">
        <v>223</v>
      </c>
      <c r="C36" s="498"/>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499" t="s">
        <v>231</v>
      </c>
      <c r="C37" s="500"/>
      <c r="D37" s="500"/>
      <c r="E37" s="500"/>
      <c r="F37" s="500"/>
      <c r="G37" s="500"/>
      <c r="H37" s="500"/>
      <c r="I37" s="501"/>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02"/>
      <c r="C38" s="503"/>
      <c r="D38" s="503"/>
      <c r="E38" s="503"/>
      <c r="F38" s="503"/>
      <c r="G38" s="503"/>
      <c r="H38" s="503"/>
      <c r="I38" s="504"/>
      <c r="J38" s="15"/>
      <c r="K38" s="515" t="s">
        <v>97</v>
      </c>
      <c r="L38" s="516"/>
      <c r="M38" s="519"/>
      <c r="N38" s="520"/>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05"/>
      <c r="C39" s="506"/>
      <c r="D39" s="506"/>
      <c r="E39" s="506"/>
      <c r="F39" s="506"/>
      <c r="G39" s="506"/>
      <c r="H39" s="506"/>
      <c r="I39" s="507"/>
      <c r="J39" s="15"/>
      <c r="K39" s="517"/>
      <c r="L39" s="518"/>
      <c r="M39" s="521"/>
      <c r="N39" s="522"/>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05"/>
      <c r="C40" s="506"/>
      <c r="D40" s="506"/>
      <c r="E40" s="506"/>
      <c r="F40" s="506"/>
      <c r="G40" s="506"/>
      <c r="H40" s="506"/>
      <c r="I40" s="507"/>
      <c r="J40" s="15"/>
      <c r="K40" s="517" t="s">
        <v>157</v>
      </c>
      <c r="L40" s="518"/>
      <c r="M40" s="521"/>
      <c r="N40" s="522"/>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05"/>
      <c r="C41" s="506"/>
      <c r="D41" s="506"/>
      <c r="E41" s="506"/>
      <c r="F41" s="506"/>
      <c r="G41" s="506"/>
      <c r="H41" s="506"/>
      <c r="I41" s="507"/>
      <c r="J41" s="15"/>
      <c r="K41" s="517"/>
      <c r="L41" s="518"/>
      <c r="M41" s="521"/>
      <c r="N41" s="522"/>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05"/>
      <c r="C42" s="506"/>
      <c r="D42" s="506"/>
      <c r="E42" s="506"/>
      <c r="F42" s="506"/>
      <c r="G42" s="506"/>
      <c r="H42" s="506"/>
      <c r="I42" s="507"/>
      <c r="J42" s="15"/>
      <c r="K42" s="523" t="s">
        <v>10</v>
      </c>
      <c r="L42" s="524"/>
      <c r="M42" s="525"/>
      <c r="N42" s="526"/>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05"/>
      <c r="C43" s="506"/>
      <c r="D43" s="509"/>
      <c r="E43" s="509"/>
      <c r="F43" s="509"/>
      <c r="G43" s="509"/>
      <c r="H43" s="509"/>
      <c r="I43" s="510"/>
      <c r="J43" s="15"/>
      <c r="K43" s="511" t="s">
        <v>260</v>
      </c>
      <c r="L43" s="512"/>
      <c r="M43" s="513"/>
      <c r="N43" s="51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497" t="s">
        <v>223</v>
      </c>
      <c r="C46" s="498"/>
      <c r="D46" s="24"/>
      <c r="E46" s="24"/>
      <c r="F46" s="24"/>
      <c r="G46" s="24"/>
      <c r="H46" s="24"/>
      <c r="I46" s="15"/>
      <c r="J46" s="15"/>
      <c r="K46" s="15"/>
      <c r="L46" s="24"/>
      <c r="M46" s="24"/>
      <c r="N46" s="24"/>
      <c r="O46" s="16"/>
    </row>
    <row r="47" spans="1:42" ht="51" customHeight="1" thickBot="1" x14ac:dyDescent="0.25">
      <c r="A47" s="14"/>
      <c r="B47" s="499" t="s">
        <v>230</v>
      </c>
      <c r="C47" s="500"/>
      <c r="D47" s="500"/>
      <c r="E47" s="500"/>
      <c r="F47" s="500"/>
      <c r="G47" s="500"/>
      <c r="H47" s="500"/>
      <c r="I47" s="501"/>
      <c r="J47" s="15"/>
      <c r="K47" s="15"/>
      <c r="L47" s="24"/>
      <c r="M47" s="24"/>
      <c r="N47" s="24"/>
      <c r="O47" s="16"/>
    </row>
    <row r="48" spans="1:42" ht="22.25" customHeight="1" x14ac:dyDescent="0.2">
      <c r="A48" s="14"/>
      <c r="B48" s="502"/>
      <c r="C48" s="503"/>
      <c r="D48" s="503"/>
      <c r="E48" s="503"/>
      <c r="F48" s="503"/>
      <c r="G48" s="503"/>
      <c r="H48" s="503"/>
      <c r="I48" s="504"/>
      <c r="J48" s="15"/>
      <c r="K48" s="515" t="s">
        <v>97</v>
      </c>
      <c r="L48" s="516"/>
      <c r="M48" s="519"/>
      <c r="N48" s="520"/>
      <c r="O48" s="16"/>
    </row>
    <row r="49" spans="1:15" ht="22.25" customHeight="1" x14ac:dyDescent="0.2">
      <c r="A49" s="14"/>
      <c r="B49" s="505"/>
      <c r="C49" s="506"/>
      <c r="D49" s="506"/>
      <c r="E49" s="506"/>
      <c r="F49" s="506"/>
      <c r="G49" s="506"/>
      <c r="H49" s="506"/>
      <c r="I49" s="507"/>
      <c r="J49" s="15"/>
      <c r="K49" s="517"/>
      <c r="L49" s="518"/>
      <c r="M49" s="521"/>
      <c r="N49" s="522"/>
      <c r="O49" s="16"/>
    </row>
    <row r="50" spans="1:15" ht="22.25" customHeight="1" x14ac:dyDescent="0.2">
      <c r="A50" s="14"/>
      <c r="B50" s="505"/>
      <c r="C50" s="506"/>
      <c r="D50" s="506"/>
      <c r="E50" s="506"/>
      <c r="F50" s="506"/>
      <c r="G50" s="506"/>
      <c r="H50" s="506"/>
      <c r="I50" s="507"/>
      <c r="J50" s="15"/>
      <c r="K50" s="517" t="s">
        <v>157</v>
      </c>
      <c r="L50" s="518"/>
      <c r="M50" s="521"/>
      <c r="N50" s="522"/>
      <c r="O50" s="16"/>
    </row>
    <row r="51" spans="1:15" ht="22.25" customHeight="1" x14ac:dyDescent="0.2">
      <c r="A51" s="14"/>
      <c r="B51" s="505"/>
      <c r="C51" s="506"/>
      <c r="D51" s="506"/>
      <c r="E51" s="506"/>
      <c r="F51" s="506"/>
      <c r="G51" s="506"/>
      <c r="H51" s="506"/>
      <c r="I51" s="507"/>
      <c r="J51" s="15"/>
      <c r="K51" s="517"/>
      <c r="L51" s="518"/>
      <c r="M51" s="521"/>
      <c r="N51" s="522"/>
      <c r="O51" s="16"/>
    </row>
    <row r="52" spans="1:15" ht="22.25" customHeight="1" x14ac:dyDescent="0.2">
      <c r="A52" s="14"/>
      <c r="B52" s="505"/>
      <c r="C52" s="506"/>
      <c r="D52" s="506"/>
      <c r="E52" s="506"/>
      <c r="F52" s="506"/>
      <c r="G52" s="506"/>
      <c r="H52" s="506"/>
      <c r="I52" s="507"/>
      <c r="J52" s="15"/>
      <c r="K52" s="523" t="s">
        <v>10</v>
      </c>
      <c r="L52" s="524"/>
      <c r="M52" s="525"/>
      <c r="N52" s="526"/>
      <c r="O52" s="16"/>
    </row>
    <row r="53" spans="1:15" ht="22.25" customHeight="1" thickBot="1" x14ac:dyDescent="0.25">
      <c r="A53" s="14"/>
      <c r="B53" s="508"/>
      <c r="C53" s="509"/>
      <c r="D53" s="509"/>
      <c r="E53" s="509"/>
      <c r="F53" s="509"/>
      <c r="G53" s="509"/>
      <c r="H53" s="509"/>
      <c r="I53" s="510"/>
      <c r="J53" s="15"/>
      <c r="K53" s="511" t="s">
        <v>259</v>
      </c>
      <c r="L53" s="512"/>
      <c r="M53" s="513"/>
      <c r="N53" s="51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497" t="s">
        <v>135</v>
      </c>
      <c r="C56" s="498"/>
      <c r="D56" s="24"/>
      <c r="E56" s="24"/>
      <c r="F56" s="24"/>
      <c r="G56" s="24"/>
      <c r="H56" s="24"/>
      <c r="I56" s="15"/>
      <c r="J56" s="15"/>
      <c r="K56" s="15"/>
      <c r="L56" s="24"/>
      <c r="M56" s="24"/>
      <c r="N56" s="24"/>
      <c r="O56" s="16"/>
    </row>
    <row r="57" spans="1:15" ht="36" customHeight="1" thickBot="1" x14ac:dyDescent="0.25">
      <c r="A57" s="14"/>
      <c r="B57" s="499" t="s">
        <v>156</v>
      </c>
      <c r="C57" s="500"/>
      <c r="D57" s="500"/>
      <c r="E57" s="500"/>
      <c r="F57" s="500"/>
      <c r="G57" s="500"/>
      <c r="H57" s="500"/>
      <c r="I57" s="501"/>
      <c r="J57" s="15"/>
      <c r="K57" s="15"/>
      <c r="L57" s="24"/>
      <c r="M57" s="24"/>
      <c r="N57" s="24"/>
      <c r="O57" s="16"/>
    </row>
    <row r="58" spans="1:15" ht="22.25" customHeight="1" x14ac:dyDescent="0.2">
      <c r="A58" s="14"/>
      <c r="B58" s="502"/>
      <c r="C58" s="503"/>
      <c r="D58" s="503"/>
      <c r="E58" s="503"/>
      <c r="F58" s="503"/>
      <c r="G58" s="503"/>
      <c r="H58" s="503"/>
      <c r="I58" s="504"/>
      <c r="J58" s="15"/>
      <c r="K58" s="515" t="s">
        <v>97</v>
      </c>
      <c r="L58" s="516"/>
      <c r="M58" s="519"/>
      <c r="N58" s="520"/>
      <c r="O58" s="16"/>
    </row>
    <row r="59" spans="1:15" ht="22.25" customHeight="1" x14ac:dyDescent="0.2">
      <c r="A59" s="14"/>
      <c r="B59" s="505"/>
      <c r="C59" s="506"/>
      <c r="D59" s="506"/>
      <c r="E59" s="506"/>
      <c r="F59" s="506"/>
      <c r="G59" s="506"/>
      <c r="H59" s="506"/>
      <c r="I59" s="507"/>
      <c r="J59" s="15"/>
      <c r="K59" s="517"/>
      <c r="L59" s="518"/>
      <c r="M59" s="521"/>
      <c r="N59" s="522"/>
      <c r="O59" s="16"/>
    </row>
    <row r="60" spans="1:15" ht="22.25" customHeight="1" x14ac:dyDescent="0.2">
      <c r="A60" s="14"/>
      <c r="B60" s="505"/>
      <c r="C60" s="506"/>
      <c r="D60" s="506"/>
      <c r="E60" s="506"/>
      <c r="F60" s="506"/>
      <c r="G60" s="506"/>
      <c r="H60" s="506"/>
      <c r="I60" s="507"/>
      <c r="J60" s="15"/>
      <c r="K60" s="517" t="s">
        <v>158</v>
      </c>
      <c r="L60" s="518"/>
      <c r="M60" s="521"/>
      <c r="N60" s="522"/>
      <c r="O60" s="16"/>
    </row>
    <row r="61" spans="1:15" ht="22.25" customHeight="1" x14ac:dyDescent="0.2">
      <c r="A61" s="14"/>
      <c r="B61" s="505"/>
      <c r="C61" s="506"/>
      <c r="D61" s="506"/>
      <c r="E61" s="506"/>
      <c r="F61" s="506"/>
      <c r="G61" s="506"/>
      <c r="H61" s="506"/>
      <c r="I61" s="507"/>
      <c r="J61" s="15"/>
      <c r="K61" s="517"/>
      <c r="L61" s="518"/>
      <c r="M61" s="521"/>
      <c r="N61" s="522"/>
      <c r="O61" s="16"/>
    </row>
    <row r="62" spans="1:15" ht="22.25" customHeight="1" thickBot="1" x14ac:dyDescent="0.25">
      <c r="A62" s="14"/>
      <c r="B62" s="508"/>
      <c r="C62" s="509"/>
      <c r="D62" s="509"/>
      <c r="E62" s="509"/>
      <c r="F62" s="509"/>
      <c r="G62" s="509"/>
      <c r="H62" s="509"/>
      <c r="I62" s="510"/>
      <c r="J62" s="15"/>
      <c r="K62" s="511" t="s">
        <v>10</v>
      </c>
      <c r="L62" s="512"/>
      <c r="M62" s="513"/>
      <c r="N62" s="51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1D00-000000000000}"/>
    <dataValidation type="date" operator="greaterThan" allowBlank="1" showInputMessage="1" showErrorMessage="1" promptTitle="Date" prompt="Please enter the date in the format dd mmm yyy" sqref="M34:N34 M42:N43 M52:N53 M62:N62" xr:uid="{00000000-0002-0000-1D00-000001000000}">
      <formula1>43607</formula1>
    </dataValidation>
    <dataValidation allowBlank="1" showInputMessage="1" showErrorMessage="1" promptTitle="Copy &amp; Paste from Word" prompt="To allow some splitting of text copy and paste paragraphs from Word._x000a_Double click to enable pasting." sqref="B58:I62 B48:I53 B38:I43 B30:I34" xr:uid="{00000000-0002-0000-1D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A534E4AB-9B37-4BE3-AFBC-A7C6AC7F6E33}">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E758CB35-2652-4903-BC8D-E011FBD74396}">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38AFEE85-78BA-4B5F-836C-7C00144A4FF0}">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E3A24B97-0E0B-4828-BAD5-84687736F308}">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B9E0CFEB-4E18-4754-9E42-B9EB5B585004}">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FEAB1D4D-D6AD-4A1F-8789-5453C2B4FBCC}">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F0E8B316-3C85-4FC6-B7F3-ED498817D9C9}">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1F4B77F5-FC03-43E1-9D19-7E4DC67A2B4F}">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03BC7001-85D4-42E6-B713-2ADF77420428}">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2EE38397-77BD-4820-A506-DDFD50FEE874}">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B729E299-77DF-4FA3-9229-6E7A5F953D57}">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91208E6A-E3A3-4BCD-8150-BF5503B63503}">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C0158566-E95A-4293-856A-5C405AB2B796}">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1322C92F-FFF4-4C7E-A405-FA41F2240082}">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A9382349-0E93-4F09-88C9-2D3DBA5AC1A2}">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B778C89A-AD46-4C8D-9B39-0C0E919EE052}">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2A6BAFA1-770A-4716-9740-A7319B88B160}">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965B3615-D5E1-4DA2-AD6F-3605C5A4F35D}">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78D60398-5DB1-4016-B617-319FF0290527}">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E1C0BC4B-20E7-4265-9813-EE1468FFEFC2}">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Attendance" prompt="Attendance &amp; Engagement with the programme:_x000a_Excellent (90-100%)_x000a_Satisfactory (80-90%)_x000a_Concerning (&lt;80%)" xr:uid="{00000000-0002-0000-1D00-000003000000}">
          <x14:formula1>
            <xm:f>'Drop Down Lists'!$A$38:$A$40</xm:f>
          </x14:formula1>
          <xm:sqref>G54 G44</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1D00-000004000000}">
          <x14:formula1>
            <xm:f>'Drop Down Lists'!$A$22:$A$26</xm:f>
          </x14:formula1>
          <xm:sqref>L10:L26</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1D00-000005000000}">
          <x14:formula1>
            <xm:f>'Drop Down Lists'!$A$22:$A$26</xm:f>
          </x14:formula1>
          <xm:sqref>M10:M26</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1D00-000006000000}">
          <x14:formula1>
            <xm:f>'Drop Down Lists'!$A$2:$A$3</xm:f>
          </x14:formula1>
          <xm:sqref>C44 C54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1D00-000007000000}">
          <x14:formula1>
            <xm:f>'Drop Down Lists'!$A$2:$A$3</xm:f>
          </x14:formula1>
          <xm:sqref>E44 E54</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1D00-000008000000}">
          <x14:formula1>
            <xm:f>'Drop Down Lists'!$A$2:$A$3</xm:f>
          </x14:formula1>
          <xm:sqref>I44 I54</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1D00-000009000000}">
          <x14:formula1>
            <xm:f>'Drop Down Lists'!$A$22:$A$26</xm:f>
          </x14:formula1>
          <xm:sqref>N10:N26</xm:sqref>
        </x14:dataValidation>
        <x14:dataValidation type="list" allowBlank="1" showInputMessage="1" showErrorMessage="1" promptTitle="Work Location(s)" prompt="Please select the MAIN work location(s) you have been based at during this period._x000a__x000a_N.B. Warwick University is JLR Research at Warwick" xr:uid="{00000000-0002-0000-1D00-00000A000000}">
          <x14:formula1>
            <xm:f>'Drop Down Lists'!$G$2:$G$21</xm:f>
          </x14:formula1>
          <xm:sqref>K5:N6</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7"/>
  <dimension ref="A1:G55"/>
  <sheetViews>
    <sheetView workbookViewId="0">
      <selection activeCell="D4" sqref="D4"/>
    </sheetView>
  </sheetViews>
  <sheetFormatPr baseColWidth="10" defaultColWidth="11.1640625" defaultRowHeight="16" x14ac:dyDescent="0.2"/>
  <cols>
    <col min="1" max="1" width="12.5" customWidth="1"/>
    <col min="5" max="5" width="67.6640625" bestFit="1" customWidth="1"/>
    <col min="7" max="7" width="22.1640625" customWidth="1"/>
  </cols>
  <sheetData>
    <row r="1" spans="1:7" ht="17" thickBot="1" x14ac:dyDescent="0.25">
      <c r="A1" s="8" t="s">
        <v>12</v>
      </c>
      <c r="D1" s="207" t="s">
        <v>23</v>
      </c>
      <c r="E1" s="208"/>
      <c r="G1" s="8" t="s">
        <v>233</v>
      </c>
    </row>
    <row r="2" spans="1:7" x14ac:dyDescent="0.2">
      <c r="A2" s="2" t="s">
        <v>13</v>
      </c>
      <c r="C2">
        <v>1</v>
      </c>
      <c r="D2" s="205" t="s">
        <v>79</v>
      </c>
      <c r="E2" s="206" t="s">
        <v>45</v>
      </c>
      <c r="G2" s="114" t="s">
        <v>234</v>
      </c>
    </row>
    <row r="3" spans="1:7" ht="17" thickBot="1" x14ac:dyDescent="0.25">
      <c r="A3" s="3" t="s">
        <v>14</v>
      </c>
      <c r="C3">
        <v>2</v>
      </c>
      <c r="D3" s="201" t="s">
        <v>72</v>
      </c>
      <c r="E3" s="202" t="s">
        <v>38</v>
      </c>
      <c r="G3" s="6" t="s">
        <v>235</v>
      </c>
    </row>
    <row r="4" spans="1:7" ht="17" thickBot="1" x14ac:dyDescent="0.25">
      <c r="C4">
        <v>3</v>
      </c>
      <c r="D4" s="201" t="s">
        <v>61</v>
      </c>
      <c r="E4" s="202" t="s">
        <v>26</v>
      </c>
      <c r="G4" s="6" t="s">
        <v>236</v>
      </c>
    </row>
    <row r="5" spans="1:7" ht="17" thickBot="1" x14ac:dyDescent="0.25">
      <c r="A5" s="9" t="s">
        <v>15</v>
      </c>
      <c r="C5">
        <v>4</v>
      </c>
      <c r="D5" s="201" t="s">
        <v>62</v>
      </c>
      <c r="E5" s="202" t="s">
        <v>27</v>
      </c>
      <c r="G5" s="6" t="s">
        <v>237</v>
      </c>
    </row>
    <row r="6" spans="1:7" ht="17" thickBot="1" x14ac:dyDescent="0.25">
      <c r="A6" s="113" t="s">
        <v>227</v>
      </c>
      <c r="C6">
        <v>5</v>
      </c>
      <c r="D6" s="201" t="s">
        <v>63</v>
      </c>
      <c r="E6" s="202" t="s">
        <v>28</v>
      </c>
      <c r="G6" s="4" t="s">
        <v>238</v>
      </c>
    </row>
    <row r="7" spans="1:7" x14ac:dyDescent="0.2">
      <c r="A7" s="5" t="s">
        <v>16</v>
      </c>
      <c r="C7">
        <v>6</v>
      </c>
      <c r="D7" s="201" t="s">
        <v>64</v>
      </c>
      <c r="E7" s="202" t="s">
        <v>29</v>
      </c>
      <c r="G7" s="4" t="s">
        <v>252</v>
      </c>
    </row>
    <row r="8" spans="1:7" x14ac:dyDescent="0.2">
      <c r="A8" s="6" t="s">
        <v>17</v>
      </c>
      <c r="C8">
        <v>7</v>
      </c>
      <c r="D8" s="201" t="s">
        <v>65</v>
      </c>
      <c r="E8" s="202" t="s">
        <v>30</v>
      </c>
      <c r="G8" s="4" t="s">
        <v>239</v>
      </c>
    </row>
    <row r="9" spans="1:7" x14ac:dyDescent="0.2">
      <c r="A9" s="6" t="s">
        <v>95</v>
      </c>
      <c r="C9">
        <v>8</v>
      </c>
      <c r="D9" s="201" t="s">
        <v>66</v>
      </c>
      <c r="E9" s="202" t="s">
        <v>31</v>
      </c>
      <c r="G9" s="4" t="s">
        <v>240</v>
      </c>
    </row>
    <row r="10" spans="1:7" x14ac:dyDescent="0.2">
      <c r="A10" s="6" t="s">
        <v>96</v>
      </c>
      <c r="C10">
        <v>9</v>
      </c>
      <c r="D10" s="201" t="s">
        <v>67</v>
      </c>
      <c r="E10" s="202" t="s">
        <v>32</v>
      </c>
      <c r="G10" s="4" t="s">
        <v>241</v>
      </c>
    </row>
    <row r="11" spans="1:7" ht="17" thickBot="1" x14ac:dyDescent="0.25">
      <c r="C11">
        <v>10</v>
      </c>
      <c r="D11" s="201" t="s">
        <v>68</v>
      </c>
      <c r="E11" s="202" t="s">
        <v>33</v>
      </c>
      <c r="G11" s="4" t="s">
        <v>242</v>
      </c>
    </row>
    <row r="12" spans="1:7" ht="17" thickBot="1" x14ac:dyDescent="0.25">
      <c r="A12" s="8" t="s">
        <v>18</v>
      </c>
      <c r="C12">
        <v>11</v>
      </c>
      <c r="D12" s="201" t="s">
        <v>69</v>
      </c>
      <c r="E12" s="202" t="s">
        <v>34</v>
      </c>
      <c r="G12" s="4" t="s">
        <v>243</v>
      </c>
    </row>
    <row r="13" spans="1:7" x14ac:dyDescent="0.2">
      <c r="A13" s="5" t="s">
        <v>25</v>
      </c>
      <c r="C13">
        <v>12</v>
      </c>
      <c r="D13" s="201" t="s">
        <v>70</v>
      </c>
      <c r="E13" s="202" t="s">
        <v>35</v>
      </c>
      <c r="G13" s="4" t="s">
        <v>244</v>
      </c>
    </row>
    <row r="14" spans="1:7" x14ac:dyDescent="0.2">
      <c r="A14" s="6" t="s">
        <v>19</v>
      </c>
      <c r="C14">
        <v>13</v>
      </c>
      <c r="D14" s="201"/>
      <c r="E14" s="202" t="s">
        <v>36</v>
      </c>
      <c r="G14" s="4" t="s">
        <v>245</v>
      </c>
    </row>
    <row r="15" spans="1:7" x14ac:dyDescent="0.2">
      <c r="A15" s="6" t="s">
        <v>20</v>
      </c>
      <c r="C15">
        <v>14</v>
      </c>
      <c r="D15" s="201" t="s">
        <v>71</v>
      </c>
      <c r="E15" s="202" t="s">
        <v>37</v>
      </c>
      <c r="G15" s="4" t="s">
        <v>246</v>
      </c>
    </row>
    <row r="16" spans="1:7" x14ac:dyDescent="0.2">
      <c r="A16" s="6" t="s">
        <v>21</v>
      </c>
      <c r="C16">
        <v>15</v>
      </c>
      <c r="D16" s="201" t="s">
        <v>73</v>
      </c>
      <c r="E16" s="202" t="s">
        <v>39</v>
      </c>
      <c r="G16" s="4" t="s">
        <v>247</v>
      </c>
    </row>
    <row r="17" spans="1:7" x14ac:dyDescent="0.2">
      <c r="A17" s="6" t="s">
        <v>22</v>
      </c>
      <c r="C17">
        <v>16</v>
      </c>
      <c r="D17" s="201" t="s">
        <v>74</v>
      </c>
      <c r="E17" s="202" t="s">
        <v>40</v>
      </c>
      <c r="G17" s="4" t="s">
        <v>248</v>
      </c>
    </row>
    <row r="18" spans="1:7" ht="17" thickBot="1" x14ac:dyDescent="0.25">
      <c r="A18" s="7" t="s">
        <v>24</v>
      </c>
      <c r="C18">
        <v>17</v>
      </c>
      <c r="D18" s="201" t="s">
        <v>75</v>
      </c>
      <c r="E18" s="202" t="s">
        <v>41</v>
      </c>
      <c r="G18" s="4" t="s">
        <v>253</v>
      </c>
    </row>
    <row r="19" spans="1:7" ht="17" thickBot="1" x14ac:dyDescent="0.25">
      <c r="C19">
        <v>18</v>
      </c>
      <c r="D19" s="201" t="s">
        <v>76</v>
      </c>
      <c r="E19" s="202" t="s">
        <v>42</v>
      </c>
      <c r="G19" s="4" t="s">
        <v>249</v>
      </c>
    </row>
    <row r="20" spans="1:7" x14ac:dyDescent="0.2">
      <c r="A20" s="567" t="s">
        <v>99</v>
      </c>
      <c r="C20">
        <v>19</v>
      </c>
      <c r="D20" s="201" t="s">
        <v>77</v>
      </c>
      <c r="E20" s="202" t="s">
        <v>43</v>
      </c>
      <c r="G20" s="4" t="s">
        <v>250</v>
      </c>
    </row>
    <row r="21" spans="1:7" ht="17" thickBot="1" x14ac:dyDescent="0.25">
      <c r="A21" s="568"/>
      <c r="C21">
        <v>20</v>
      </c>
      <c r="D21" s="201" t="s">
        <v>78</v>
      </c>
      <c r="E21" s="202" t="s">
        <v>44</v>
      </c>
      <c r="G21" s="3" t="s">
        <v>251</v>
      </c>
    </row>
    <row r="22" spans="1:7" x14ac:dyDescent="0.2">
      <c r="A22" s="60">
        <v>0</v>
      </c>
      <c r="C22">
        <v>21</v>
      </c>
      <c r="D22" s="201" t="s">
        <v>80</v>
      </c>
      <c r="E22" s="202" t="s">
        <v>46</v>
      </c>
    </row>
    <row r="23" spans="1:7" x14ac:dyDescent="0.2">
      <c r="A23" s="58">
        <v>1</v>
      </c>
      <c r="C23">
        <v>22</v>
      </c>
      <c r="D23" s="201" t="s">
        <v>81</v>
      </c>
      <c r="E23" s="202" t="s">
        <v>47</v>
      </c>
    </row>
    <row r="24" spans="1:7" x14ac:dyDescent="0.2">
      <c r="A24" s="58">
        <v>2</v>
      </c>
      <c r="C24">
        <v>23</v>
      </c>
      <c r="D24" s="201" t="s">
        <v>82</v>
      </c>
      <c r="E24" s="202" t="s">
        <v>48</v>
      </c>
    </row>
    <row r="25" spans="1:7" x14ac:dyDescent="0.2">
      <c r="A25" s="58">
        <v>3</v>
      </c>
      <c r="C25">
        <v>24</v>
      </c>
      <c r="D25" s="201" t="s">
        <v>83</v>
      </c>
      <c r="E25" s="202" t="s">
        <v>49</v>
      </c>
    </row>
    <row r="26" spans="1:7" ht="17" thickBot="1" x14ac:dyDescent="0.25">
      <c r="A26" s="59">
        <v>4</v>
      </c>
      <c r="C26">
        <v>25</v>
      </c>
      <c r="D26" s="201" t="s">
        <v>84</v>
      </c>
      <c r="E26" s="202" t="s">
        <v>50</v>
      </c>
    </row>
    <row r="27" spans="1:7" ht="17" thickBot="1" x14ac:dyDescent="0.25">
      <c r="C27">
        <v>26</v>
      </c>
      <c r="D27" s="201" t="s">
        <v>85</v>
      </c>
      <c r="E27" s="202" t="s">
        <v>51</v>
      </c>
    </row>
    <row r="28" spans="1:7" x14ac:dyDescent="0.2">
      <c r="A28" s="33" t="s">
        <v>138</v>
      </c>
      <c r="C28">
        <v>27</v>
      </c>
      <c r="D28" s="201" t="s">
        <v>86</v>
      </c>
      <c r="E28" s="202" t="s">
        <v>52</v>
      </c>
    </row>
    <row r="29" spans="1:7" x14ac:dyDescent="0.2">
      <c r="A29" s="4" t="s">
        <v>141</v>
      </c>
      <c r="C29">
        <v>28</v>
      </c>
      <c r="D29" s="201" t="s">
        <v>87</v>
      </c>
      <c r="E29" s="202" t="s">
        <v>53</v>
      </c>
    </row>
    <row r="30" spans="1:7" x14ac:dyDescent="0.2">
      <c r="A30" s="4" t="s">
        <v>142</v>
      </c>
      <c r="C30">
        <v>29</v>
      </c>
      <c r="D30" s="201" t="s">
        <v>88</v>
      </c>
      <c r="E30" s="202" t="s">
        <v>54</v>
      </c>
    </row>
    <row r="31" spans="1:7" x14ac:dyDescent="0.2">
      <c r="A31" s="4" t="s">
        <v>139</v>
      </c>
      <c r="C31">
        <v>30</v>
      </c>
      <c r="D31" s="201" t="s">
        <v>89</v>
      </c>
      <c r="E31" s="202" t="s">
        <v>55</v>
      </c>
    </row>
    <row r="32" spans="1:7" x14ac:dyDescent="0.2">
      <c r="A32" s="4" t="s">
        <v>140</v>
      </c>
      <c r="C32">
        <v>31</v>
      </c>
      <c r="D32" s="201" t="s">
        <v>90</v>
      </c>
      <c r="E32" s="202" t="s">
        <v>56</v>
      </c>
    </row>
    <row r="33" spans="1:5" x14ac:dyDescent="0.2">
      <c r="A33" s="4"/>
      <c r="C33">
        <v>32</v>
      </c>
      <c r="D33" s="201" t="s">
        <v>91</v>
      </c>
      <c r="E33" s="202" t="s">
        <v>57</v>
      </c>
    </row>
    <row r="34" spans="1:5" x14ac:dyDescent="0.2">
      <c r="A34" s="4"/>
      <c r="C34">
        <v>33</v>
      </c>
      <c r="D34" s="201" t="s">
        <v>92</v>
      </c>
      <c r="E34" s="202" t="s">
        <v>58</v>
      </c>
    </row>
    <row r="35" spans="1:5" ht="17" thickBot="1" x14ac:dyDescent="0.25">
      <c r="A35" s="3"/>
      <c r="C35">
        <v>34</v>
      </c>
      <c r="D35" s="201" t="s">
        <v>93</v>
      </c>
      <c r="E35" s="202" t="s">
        <v>59</v>
      </c>
    </row>
    <row r="36" spans="1:5" ht="17" thickBot="1" x14ac:dyDescent="0.25">
      <c r="C36">
        <v>35</v>
      </c>
      <c r="D36" s="203" t="s">
        <v>94</v>
      </c>
      <c r="E36" s="204" t="s">
        <v>60</v>
      </c>
    </row>
    <row r="37" spans="1:5" x14ac:dyDescent="0.2">
      <c r="A37" s="33" t="s">
        <v>152</v>
      </c>
    </row>
    <row r="38" spans="1:5" x14ac:dyDescent="0.2">
      <c r="A38" s="4" t="s">
        <v>153</v>
      </c>
    </row>
    <row r="39" spans="1:5" x14ac:dyDescent="0.2">
      <c r="A39" s="4" t="s">
        <v>155</v>
      </c>
    </row>
    <row r="40" spans="1:5" ht="17" thickBot="1" x14ac:dyDescent="0.25">
      <c r="A40" s="3" t="s">
        <v>154</v>
      </c>
    </row>
    <row r="42" spans="1:5" ht="17" thickBot="1" x14ac:dyDescent="0.25"/>
    <row r="43" spans="1:5" x14ac:dyDescent="0.2">
      <c r="A43" s="33" t="s">
        <v>195</v>
      </c>
    </row>
    <row r="44" spans="1:5" x14ac:dyDescent="0.2">
      <c r="A44" s="55"/>
    </row>
    <row r="45" spans="1:5" x14ac:dyDescent="0.2">
      <c r="A45" s="55"/>
    </row>
    <row r="46" spans="1:5" x14ac:dyDescent="0.2">
      <c r="A46" s="4"/>
    </row>
    <row r="47" spans="1:5" x14ac:dyDescent="0.2">
      <c r="A47" s="4"/>
    </row>
    <row r="48" spans="1:5" ht="17" thickBot="1" x14ac:dyDescent="0.25">
      <c r="A48" s="3"/>
    </row>
    <row r="49" spans="1:1" ht="17" thickBot="1" x14ac:dyDescent="0.25"/>
    <row r="50" spans="1:1" x14ac:dyDescent="0.2">
      <c r="A50" s="33" t="s">
        <v>204</v>
      </c>
    </row>
    <row r="51" spans="1:1" x14ac:dyDescent="0.2">
      <c r="A51" s="4" t="s">
        <v>206</v>
      </c>
    </row>
    <row r="52" spans="1:1" x14ac:dyDescent="0.2">
      <c r="A52" s="58" t="s">
        <v>207</v>
      </c>
    </row>
    <row r="53" spans="1:1" x14ac:dyDescent="0.2">
      <c r="A53" s="58" t="s">
        <v>208</v>
      </c>
    </row>
    <row r="54" spans="1:1" x14ac:dyDescent="0.2">
      <c r="A54" s="58" t="s">
        <v>209</v>
      </c>
    </row>
    <row r="55" spans="1:1" ht="17" thickBot="1" x14ac:dyDescent="0.25">
      <c r="A55" s="59" t="s">
        <v>210</v>
      </c>
    </row>
  </sheetData>
  <mergeCells count="1">
    <mergeCell ref="A20:A21"/>
  </mergeCells>
  <hyperlinks>
    <hyperlink ref="E4" r:id="rId1" tooltip="BCS, The Chartered Institute for IT" display="http://www.bcs.org/" xr:uid="{00000000-0004-0000-1E00-000000000000}"/>
    <hyperlink ref="E5" r:id="rId2" tooltip="British Institute of Non-Destructive Testing (BINDT)" display="http://www.bindt.org/" xr:uid="{00000000-0004-0000-1E00-000001000000}"/>
    <hyperlink ref="E6" r:id="rId3" tooltip="Chartered Institution of Building Services Engineers (CIBSE)" display="http://www.cibse.org/" xr:uid="{00000000-0004-0000-1E00-000002000000}"/>
    <hyperlink ref="E7" r:id="rId4" tooltip="Chartered Institution of Highways &amp; Transportation (CIHT)" display="http://www.ciht.org.uk/" xr:uid="{00000000-0004-0000-1E00-000003000000}"/>
    <hyperlink ref="E8" r:id="rId5" tooltip="Chartered Institute of Plumbing and Heating Engineering (CIPHE)" display="http://www.ciphe.org.uk/" xr:uid="{00000000-0004-0000-1E00-000004000000}"/>
    <hyperlink ref="E9" r:id="rId6" tooltip="Chartered Institution of Water and Environmental Management (CIWEM)" display="http://www.ciwem.org/" xr:uid="{00000000-0004-0000-1E00-000005000000}"/>
    <hyperlink ref="E10" r:id="rId7" tooltip="Energy Institute (EI)" display="https://www.energyinst.org/home" xr:uid="{00000000-0004-0000-1E00-000006000000}"/>
    <hyperlink ref="E11" r:id="rId8" tooltip="Institution of Agricultural Engineers (IAgrE)" display="http://www.iagre.org/" xr:uid="{00000000-0004-0000-1E00-000007000000}"/>
    <hyperlink ref="E12" r:id="rId9" tooltip="Institution of Civil Engineers (ICE)" display="https://www.ice.org.uk/" xr:uid="{00000000-0004-0000-1E00-000008000000}"/>
    <hyperlink ref="E13" r:id="rId10" tooltip="Institution of Chemical Engineers (IChemE)" display="http://www.icheme.org/" xr:uid="{00000000-0004-0000-1E00-000009000000}"/>
    <hyperlink ref="E14" r:id="rId11" tooltip="Institute of Cast Metals Engineers (ICME)" display="http://www.icme.org.uk/" xr:uid="{00000000-0004-0000-1E00-00000A000000}"/>
    <hyperlink ref="E15" r:id="rId12" tooltip="Institution of Engineering Designers (IED)" display="http://www.ied.org.uk/" xr:uid="{00000000-0004-0000-1E00-00000B000000}"/>
    <hyperlink ref="E3" r:id="rId13" tooltip="Institution of Engineering and Technology (IET)" display="http://www.theiet.org/" xr:uid="{00000000-0004-0000-1E00-00000C000000}"/>
    <hyperlink ref="E16" r:id="rId14" tooltip="Institution of Fire Engineers (IFE)" display="http://www.ife.org.uk/" xr:uid="{00000000-0004-0000-1E00-00000D000000}"/>
    <hyperlink ref="E17" r:id="rId15" tooltip="Institution of Gas Engineers and Managers (IGEM)" display="http://www.igem.org.uk/" xr:uid="{00000000-0004-0000-1E00-00000E000000}"/>
    <hyperlink ref="E18" r:id="rId16" tooltip="Institute of Highway Engineers (IHE)" display="http://www.theihe.org/" xr:uid="{00000000-0004-0000-1E00-00000F000000}"/>
    <hyperlink ref="E19" r:id="rId17" tooltip="Institute of Healthcare Engineering and Estate Management (IHEEM)" display="http://www.iheem.org.uk/" xr:uid="{00000000-0004-0000-1E00-000010000000}"/>
    <hyperlink ref="E20" r:id="rId18" tooltip="Institution of Lighting Professionals (ILP)" display="http://www.theilp.org.uk/" xr:uid="{00000000-0004-0000-1E00-000011000000}"/>
    <hyperlink ref="E21" r:id="rId19" tooltip="Institute of Marine Engineering, Science &amp; Technology (IMarEST)" display="http://www.imarest.org/" xr:uid="{00000000-0004-0000-1E00-000012000000}"/>
    <hyperlink ref="E2" r:id="rId20" tooltip="Institution of Mechanical Engineers (IMechE)" display="http://www.imeche.org/" xr:uid="{00000000-0004-0000-1E00-000013000000}"/>
    <hyperlink ref="E22" r:id="rId21" tooltip="Institute of Measurement and Control (InstMC)" display="http://www.instmc.org/" xr:uid="{00000000-0004-0000-1E00-000014000000}"/>
    <hyperlink ref="E23" r:id="rId22" tooltip="Institution of Royal Engineers (InstRE)" display="http://www.instre.org/" xr:uid="{00000000-0004-0000-1E00-000015000000}"/>
    <hyperlink ref="E24" r:id="rId23" tooltip="Institute of Acoustics (IOA)" display="http://www.ioa.org.uk/" xr:uid="{00000000-0004-0000-1E00-000016000000}"/>
    <hyperlink ref="E25" r:id="rId24" tooltip="Institute of Materials, Minerals and Mining (IOM3)" display="http://www.iom3.org/" xr:uid="{00000000-0004-0000-1E00-000017000000}"/>
    <hyperlink ref="E26" r:id="rId25" tooltip="Institute of Physics (IOP)" display="http://www.iop.org/" xr:uid="{00000000-0004-0000-1E00-000018000000}"/>
    <hyperlink ref="E27" r:id="rId26" tooltip="Institute of Physics and Engineering in Medicine (IPEM)" display="http://www.ipem.ac.uk/" xr:uid="{00000000-0004-0000-1E00-000019000000}"/>
    <hyperlink ref="E28" r:id="rId27" tooltip="Institution of Railway Signal Engineers (IRSE)" display="http://www.irse.org/" xr:uid="{00000000-0004-0000-1E00-00001A000000}"/>
    <hyperlink ref="E29" r:id="rId28" tooltip="Institution of Structural Engineers (IStructE)" display="http://www.istructe.org/" xr:uid="{00000000-0004-0000-1E00-00001B000000}"/>
    <hyperlink ref="E30" r:id="rId29" tooltip="Institute of Water" display="http://www.instituteofwater.org.uk/" xr:uid="{00000000-0004-0000-1E00-00001C000000}"/>
    <hyperlink ref="E31" r:id="rId30" tooltip="Nuclear Institute (NI)" display="http://www.nuclearinst.com/" xr:uid="{00000000-0004-0000-1E00-00001D000000}"/>
    <hyperlink ref="E32" r:id="rId31" tooltip="Royal Aeronautical Society (RAeS)" display="http://www.aerosociety.com/" xr:uid="{00000000-0004-0000-1E00-00001E000000}"/>
    <hyperlink ref="E33" r:id="rId32" tooltip="Royal Institution of Naval Architects (RINA)" display="http://www.rina.org.uk/" xr:uid="{00000000-0004-0000-1E00-00001F000000}"/>
    <hyperlink ref="E34" r:id="rId33" tooltip="Society of Environmental Engineers (SEE)" display="http://www.environmental.org.uk/" xr:uid="{00000000-0004-0000-1E00-000020000000}"/>
    <hyperlink ref="E35" r:id="rId34" tooltip="The Society of Operations Engineers (SOE)" display="http://www.soe.org.uk/" xr:uid="{00000000-0004-0000-1E00-000021000000}"/>
    <hyperlink ref="E36" r:id="rId35" tooltip="The Welding Institute (TWI)" display="http://www.theweldinginstitute.com/" xr:uid="{00000000-0004-0000-1E00-000022000000}"/>
  </hyperlinks>
  <pageMargins left="0.7" right="0.7" top="0.75" bottom="0.75" header="0.3" footer="0.3"/>
  <pageSetup paperSize="9" orientation="portrait" r:id="rId36"/>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31</vt:i4>
      </vt:variant>
      <vt:variant>
        <vt:lpstr>Named Ranges</vt:lpstr>
      </vt:variant>
      <vt:variant>
        <vt:i4>30</vt:i4>
      </vt:variant>
    </vt:vector>
  </HeadingPairs>
  <TitlesOfParts>
    <vt:vector size="61" baseType="lpstr">
      <vt:lpstr>Welcome to DEPER</vt:lpstr>
      <vt:lpstr>Front Sheet</vt:lpstr>
      <vt:lpstr>Progress</vt:lpstr>
      <vt:lpstr>Slope</vt:lpstr>
      <vt:lpstr>Spiders</vt:lpstr>
      <vt:lpstr>Module Results</vt:lpstr>
      <vt:lpstr>Y1 R1</vt:lpstr>
      <vt:lpstr>Y1 R2</vt:lpstr>
      <vt:lpstr>Y1 R3</vt:lpstr>
      <vt:lpstr>Y1 R4</vt:lpstr>
      <vt:lpstr>Y2 R1</vt:lpstr>
      <vt:lpstr>Y2 R2</vt:lpstr>
      <vt:lpstr>Y2 R3</vt:lpstr>
      <vt:lpstr>Y2 R4</vt:lpstr>
      <vt:lpstr>Y3 R1</vt:lpstr>
      <vt:lpstr>Y3 R2</vt:lpstr>
      <vt:lpstr>Y3 R3</vt:lpstr>
      <vt:lpstr>Y3 R4</vt:lpstr>
      <vt:lpstr>Y4 R1</vt:lpstr>
      <vt:lpstr>Y4 R2</vt:lpstr>
      <vt:lpstr>Y4 R3</vt:lpstr>
      <vt:lpstr>Y4 R4</vt:lpstr>
      <vt:lpstr>Y5 R1</vt:lpstr>
      <vt:lpstr>Y5 R2</vt:lpstr>
      <vt:lpstr>Y5 R3</vt:lpstr>
      <vt:lpstr>Y5 R4</vt:lpstr>
      <vt:lpstr>Y6 R1</vt:lpstr>
      <vt:lpstr>Y6 R2</vt:lpstr>
      <vt:lpstr>Y6 R3</vt:lpstr>
      <vt:lpstr>Y6 R4</vt:lpstr>
      <vt:lpstr>Drop Down Lists</vt:lpstr>
      <vt:lpstr>'Front Sheet'!Print_Area</vt:lpstr>
      <vt:lpstr>'Module Results'!Print_Area</vt:lpstr>
      <vt:lpstr>Progress!Print_Area</vt:lpstr>
      <vt:lpstr>Slope!Print_Area</vt:lpstr>
      <vt:lpstr>Spiders!Print_Area</vt:lpstr>
      <vt:lpstr>'Welcome to DEPER'!Print_Area</vt:lpstr>
      <vt:lpstr>'Y1 R1'!Print_Area</vt:lpstr>
      <vt:lpstr>'Y1 R2'!Print_Area</vt:lpstr>
      <vt:lpstr>'Y1 R3'!Print_Area</vt:lpstr>
      <vt:lpstr>'Y1 R4'!Print_Area</vt:lpstr>
      <vt:lpstr>'Y2 R1'!Print_Area</vt:lpstr>
      <vt:lpstr>'Y2 R2'!Print_Area</vt:lpstr>
      <vt:lpstr>'Y2 R3'!Print_Area</vt:lpstr>
      <vt:lpstr>'Y2 R4'!Print_Area</vt:lpstr>
      <vt:lpstr>'Y3 R1'!Print_Area</vt:lpstr>
      <vt:lpstr>'Y3 R2'!Print_Area</vt:lpstr>
      <vt:lpstr>'Y3 R3'!Print_Area</vt:lpstr>
      <vt:lpstr>'Y3 R4'!Print_Area</vt:lpstr>
      <vt:lpstr>'Y4 R1'!Print_Area</vt:lpstr>
      <vt:lpstr>'Y4 R2'!Print_Area</vt:lpstr>
      <vt:lpstr>'Y4 R3'!Print_Area</vt:lpstr>
      <vt:lpstr>'Y4 R4'!Print_Area</vt:lpstr>
      <vt:lpstr>'Y5 R1'!Print_Area</vt:lpstr>
      <vt:lpstr>'Y5 R2'!Print_Area</vt:lpstr>
      <vt:lpstr>'Y5 R3'!Print_Area</vt:lpstr>
      <vt:lpstr>'Y5 R4'!Print_Area</vt:lpstr>
      <vt:lpstr>'Y6 R1'!Print_Area</vt:lpstr>
      <vt:lpstr>'Y6 R2'!Print_Area</vt:lpstr>
      <vt:lpstr>'Y6 R3'!Print_Area</vt:lpstr>
      <vt:lpstr>'Y6 R4'!Print_Area</vt:lpstr>
    </vt:vector>
  </TitlesOfParts>
  <Manager>M Pixley</Manager>
  <Company>JLR - CoE Technical Capability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Developing Engineer Professional Excellence Record</dc:title>
  <dc:subject>Professional Recording and Review Records</dc:subject>
  <dc:creator>Microsoft Office User;Simon B Wood</dc:creator>
  <cp:lastModifiedBy>Philip McGaw</cp:lastModifiedBy>
  <cp:revision>0</cp:revision>
  <cp:lastPrinted>2019-12-13T09:25:02Z</cp:lastPrinted>
  <dcterms:created xsi:type="dcterms:W3CDTF">2018-11-28T12:04:20Z</dcterms:created>
  <dcterms:modified xsi:type="dcterms:W3CDTF">2020-05-18T18:52:46Z</dcterms:modified>
  <cp:version>V1.0</cp:version>
</cp:coreProperties>
</file>